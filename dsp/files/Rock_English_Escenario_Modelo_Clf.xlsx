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i\Documents\Projects\datalab-music-mood\music-tagger-benchmark\dsp\files\"/>
    </mc:Choice>
  </mc:AlternateContent>
  <xr:revisionPtr revIDLastSave="0" documentId="13_ncr:1_{2D7B93E8-ABEB-4BFA-9A21-0E3F89D81817}" xr6:coauthVersionLast="47" xr6:coauthVersionMax="47" xr10:uidLastSave="{00000000-0000-0000-0000-000000000000}"/>
  <bookViews>
    <workbookView xWindow="19095" yWindow="0" windowWidth="19410" windowHeight="20985" firstSheet="2" activeTab="2" xr2:uid="{8807F3E4-516F-41BB-9BDD-406CC2BDAD08}"/>
  </bookViews>
  <sheets>
    <sheet name="Sheet1" sheetId="2" r:id="rId1"/>
    <sheet name="Sheet3" sheetId="4" r:id="rId2"/>
    <sheet name="_escenarios_modelo_rf_rock_engl" sheetId="1" r:id="rId3"/>
  </sheets>
  <definedNames>
    <definedName name="_xlnm._FilterDatabase" localSheetId="2" hidden="1">_escenarios_modelo_rf_rock_engl!$A$1:$N$120</definedName>
    <definedName name="_xlnm._FilterDatabase" localSheetId="0" hidden="1">Sheet1!$A$4:$E$17</definedName>
  </definedNames>
  <calcPr calcId="191029"/>
  <pivotCaches>
    <pivotCache cacheId="0" r:id="rId4"/>
    <pivotCache cacheId="1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11" i="2"/>
  <c r="E12" i="2"/>
  <c r="E13" i="2"/>
  <c r="E14" i="2"/>
  <c r="E15" i="2"/>
  <c r="E16" i="2"/>
  <c r="E17" i="2"/>
  <c r="E5" i="2"/>
  <c r="L12" i="1"/>
  <c r="L15" i="1"/>
  <c r="L3" i="1"/>
  <c r="L16" i="1"/>
  <c r="L14" i="1"/>
  <c r="L7" i="1"/>
  <c r="L4" i="1"/>
  <c r="L10" i="1"/>
  <c r="L2" i="1"/>
  <c r="L6" i="1"/>
  <c r="L5" i="1"/>
  <c r="L9" i="1"/>
  <c r="L11" i="1"/>
  <c r="L13" i="1"/>
  <c r="L17" i="1"/>
  <c r="L21" i="1"/>
  <c r="L18" i="1"/>
  <c r="L22" i="1"/>
  <c r="L20" i="1"/>
  <c r="L30" i="1"/>
  <c r="L27" i="1"/>
  <c r="L24" i="1"/>
  <c r="L23" i="1"/>
  <c r="L31" i="1"/>
  <c r="L28" i="1"/>
  <c r="L29" i="1"/>
  <c r="L32" i="1"/>
  <c r="L19" i="1"/>
  <c r="L35" i="1"/>
  <c r="L25" i="1"/>
  <c r="L39" i="1"/>
  <c r="L40" i="1"/>
  <c r="L26" i="1"/>
  <c r="L34" i="1"/>
  <c r="L33" i="1"/>
  <c r="L38" i="1"/>
  <c r="L43" i="1"/>
  <c r="L41" i="1"/>
  <c r="L36" i="1"/>
  <c r="L44" i="1"/>
  <c r="L37" i="1"/>
  <c r="L45" i="1"/>
  <c r="L42" i="1"/>
  <c r="L47" i="1"/>
  <c r="L56" i="1"/>
  <c r="L46" i="1"/>
  <c r="L55" i="1"/>
  <c r="L49" i="1"/>
  <c r="L50" i="1"/>
  <c r="L61" i="1"/>
  <c r="L51" i="1"/>
  <c r="L48" i="1"/>
  <c r="L52" i="1"/>
  <c r="L59" i="1"/>
  <c r="L57" i="1"/>
  <c r="L60" i="1"/>
  <c r="L66" i="1"/>
  <c r="L54" i="1"/>
  <c r="L68" i="1"/>
  <c r="L64" i="1"/>
  <c r="L65" i="1"/>
  <c r="L62" i="1"/>
  <c r="L63" i="1"/>
  <c r="L58" i="1"/>
  <c r="L67" i="1"/>
  <c r="L72" i="1"/>
  <c r="L70" i="1"/>
  <c r="L53" i="1"/>
  <c r="L69" i="1"/>
  <c r="L80" i="1"/>
  <c r="L73" i="1"/>
  <c r="L71" i="1"/>
  <c r="L79" i="1"/>
  <c r="L75" i="1"/>
  <c r="L77" i="1"/>
  <c r="L83" i="1"/>
  <c r="L74" i="1"/>
  <c r="L76" i="1"/>
  <c r="L85" i="1"/>
  <c r="L78" i="1"/>
  <c r="L87" i="1"/>
  <c r="L88" i="1"/>
  <c r="L86" i="1"/>
  <c r="L81" i="1"/>
  <c r="L91" i="1"/>
  <c r="L84" i="1"/>
  <c r="L82" i="1"/>
  <c r="L90" i="1"/>
  <c r="L89" i="1"/>
  <c r="L92" i="1"/>
  <c r="L97" i="1"/>
  <c r="L95" i="1"/>
  <c r="L96" i="1"/>
  <c r="L99" i="1"/>
  <c r="L102" i="1"/>
  <c r="L93" i="1"/>
  <c r="L101" i="1"/>
  <c r="L100" i="1"/>
  <c r="L94" i="1"/>
  <c r="L104" i="1"/>
  <c r="L103" i="1"/>
  <c r="L98" i="1"/>
  <c r="L108" i="1"/>
  <c r="L106" i="1"/>
  <c r="L105" i="1"/>
  <c r="L112" i="1"/>
  <c r="L109" i="1"/>
  <c r="L107" i="1"/>
  <c r="L110" i="1"/>
  <c r="L111" i="1"/>
  <c r="L117" i="1"/>
  <c r="L113" i="1"/>
  <c r="L120" i="1"/>
  <c r="L116" i="1"/>
  <c r="L118" i="1"/>
  <c r="L119" i="1"/>
  <c r="L114" i="1"/>
  <c r="L115" i="1"/>
  <c r="L8" i="1"/>
  <c r="E22" i="4"/>
</calcChain>
</file>

<file path=xl/sharedStrings.xml><?xml version="1.0" encoding="utf-8"?>
<sst xmlns="http://schemas.openxmlformats.org/spreadsheetml/2006/main" count="1029" uniqueCount="396">
  <si>
    <t>filename</t>
  </si>
  <si>
    <t>spotify_url</t>
  </si>
  <si>
    <t>categoria_humano</t>
  </si>
  <si>
    <t>escenario</t>
  </si>
  <si>
    <t>descripcion</t>
  </si>
  <si>
    <t>top1_categoria</t>
  </si>
  <si>
    <t>top1_prob</t>
  </si>
  <si>
    <t>top2_categoria</t>
  </si>
  <si>
    <t>top2_prob</t>
  </si>
  <si>
    <t>coincide_con_humano</t>
  </si>
  <si>
    <t>Barry Manilow - Can't Smile Without You</t>
  </si>
  <si>
    <t>https://open.spotify.com/track/7qUTZEf6bgiApJEXpMAH5y</t>
  </si>
  <si>
    <t>incrementable-decreciente</t>
  </si>
  <si>
    <t>confiable</t>
  </si>
  <si>
    <t>incrementable-decreciente (60%)</t>
  </si>
  <si>
    <t>alta-agresiva</t>
  </si>
  <si>
    <t>Billie Eilish - bad guy</t>
  </si>
  <si>
    <t>https://open.spotify.com/track/2Fxmhks0bxGSBdJ92vM42m</t>
  </si>
  <si>
    <t>baja-ritmica</t>
  </si>
  <si>
    <t>ambigua</t>
  </si>
  <si>
    <t>baja-contemplativa o baja-ritmica (empate real, 33% vs 30%)</t>
  </si>
  <si>
    <t>baja-contemplativa</t>
  </si>
  <si>
    <t>Blondie - One Way Or Another</t>
  </si>
  <si>
    <t>https://open.spotify.com/track/1gKmnrz6SzJlGMNRKBLx1V</t>
  </si>
  <si>
    <t>alta-agresiva (55%)</t>
  </si>
  <si>
    <t>alta-ritmica</t>
  </si>
  <si>
    <t>Ace of Base - All That She Wants</t>
  </si>
  <si>
    <t>https://open.spotify.com/track/6kWJvPfC4DgUpRsXKNa9z9</t>
  </si>
  <si>
    <t>alta-ritmica (48%)</t>
  </si>
  <si>
    <t>Boney M. - Gotta Go Home</t>
  </si>
  <si>
    <t>https://open.spotify.com/track/4MvGHDenL4t9JW1RHB4rK2</t>
  </si>
  <si>
    <t>revisar</t>
  </si>
  <si>
    <t>ninguna categoria domina (mejor: alta-ritmica con solo 44%)</t>
  </si>
  <si>
    <t>Blondie - Maria - Radio Edit</t>
  </si>
  <si>
    <t>https://open.spotify.com/track/4yHHx0rMvgCOoYoDWNdcR3</t>
  </si>
  <si>
    <t>alta-agresiva o incrementable-decreciente (empate real, 30% vs 24%)</t>
  </si>
  <si>
    <t>America, George Martin - A Horse with No Name</t>
  </si>
  <si>
    <t>https://open.spotify.com/track/54eZmuggBFJbV7k248bTTt</t>
  </si>
  <si>
    <t>baja-ritmica (48%)</t>
  </si>
  <si>
    <t>Ace of Base - Happy Nation</t>
  </si>
  <si>
    <t>https://open.spotify.com/track/7yCF65vpc7sUwPjftI0iFb</t>
  </si>
  <si>
    <t>alta-ritmica o baja-ritmica (empate real, 34% vs 28%)</t>
  </si>
  <si>
    <t>Bee Gees - Stayin' Alive</t>
  </si>
  <si>
    <t>https://open.spotify.com/track/4UDmDIqJIbrW0hMBQMFOsM</t>
  </si>
  <si>
    <t>alta-ritmica (56%)</t>
  </si>
  <si>
    <t>ABBA - Lay All Your Love On Me</t>
  </si>
  <si>
    <t>https://open.spotify.com/track/4euAGZTszWPrriggYK0HG9</t>
  </si>
  <si>
    <t>ninguna categoria domina (mejor: alta-ritmica con solo 40%)</t>
  </si>
  <si>
    <t>Alphaville - Big in Japan</t>
  </si>
  <si>
    <t>https://open.spotify.com/track/3BZGi1yUqQyCNC868AqUGG</t>
  </si>
  <si>
    <t>alta-ritmica o baja-ritmica (empate real, 39% vs 33%)</t>
  </si>
  <si>
    <t>Air Supply - Making Love Out of Nothing at All</t>
  </si>
  <si>
    <t>https://open.spotify.com/track/188ogJrKez9zzsidIg22X8</t>
  </si>
  <si>
    <t>incrementable-decreciente (46%)</t>
  </si>
  <si>
    <t>Beach House - Space Song</t>
  </si>
  <si>
    <t>https://open.spotify.com/track/1ujxjsoNvh4XgS2fUNwkZ2</t>
  </si>
  <si>
    <t>baja-contemplativa (59%)</t>
  </si>
  <si>
    <t>Bee Gees - Tragedy</t>
  </si>
  <si>
    <t>https://open.spotify.com/track/6UXXeFqMBGiqjkzQzkMT3E</t>
  </si>
  <si>
    <t>ninguna categoria domina (mejor: alta-ritmica con solo 42%)</t>
  </si>
  <si>
    <t>Billy Joel - Piano Man</t>
  </si>
  <si>
    <t>https://open.spotify.com/track/70C4NyhjD5OZUMzvWZ3njJ</t>
  </si>
  <si>
    <t>ninguna categoria domina (mejor: incrementable-decreciente con solo 45%)</t>
  </si>
  <si>
    <t>Boney M. - Rasputin</t>
  </si>
  <si>
    <t>https://open.spotify.com/track/5lWSa1rmuSL6OBPOnkAqoa</t>
  </si>
  <si>
    <t>alta-ritmica (54%)</t>
  </si>
  <si>
    <t>Bruno Mars - The Lazy Song</t>
  </si>
  <si>
    <t>https://open.spotify.com/track/386RUes7n1uM1yfzgeUuwp</t>
  </si>
  <si>
    <t>Boney M. - Sunny</t>
  </si>
  <si>
    <t>https://open.spotify.com/track/3pf96IFggfQuT6Gafqx2rt</t>
  </si>
  <si>
    <t>ninguna categoria domina (mejor: alta-agresiva con solo 39%)</t>
  </si>
  <si>
    <t>Demis Roussos - Forever and Ever</t>
  </si>
  <si>
    <t>https://open.spotify.com/track/72MJeNXJ3LKfa73U4WrEtA</t>
  </si>
  <si>
    <t>incrementable-decreciente o baja-ritmica (empate real, 33% vs 29%)</t>
  </si>
  <si>
    <t>Bruno Mars - Locked out of Heaven</t>
  </si>
  <si>
    <t>https://open.spotify.com/track/3w3y8KPTfNeOKPiqUTakBh</t>
  </si>
  <si>
    <t>alta-ritmica o baja-ritmica (empate real, 35% vs 24%)</t>
  </si>
  <si>
    <t>Elvis Presley - Jailhouse Rock</t>
  </si>
  <si>
    <t>https://open.spotify.com/track/452KBpASS5lZLeJWX9Ixub</t>
  </si>
  <si>
    <t>ninguna categoria domina (mejor: alta-ritmica con solo 43%)</t>
  </si>
  <si>
    <t>Earth, Wind &amp; Fire - September</t>
  </si>
  <si>
    <t>https://open.spotify.com/track/3kXoKlD84c6OmIcOLfrfEs</t>
  </si>
  <si>
    <t>alta-ritmica (47%)</t>
  </si>
  <si>
    <t>Donna Summer - On The Radio</t>
  </si>
  <si>
    <t>https://open.spotify.com/track/41v23mPw4Se92JKUGvnkmW</t>
  </si>
  <si>
    <t>alta-agresiva o baja-ritmica (empate real, 30% vs 29%)</t>
  </si>
  <si>
    <t>Desireless - Voyage voyage</t>
  </si>
  <si>
    <t>https://open.spotify.com/track/2d8D7uk3tbAThjRkdfrx9c</t>
  </si>
  <si>
    <t>ninguna categoria domina (mejor: baja-ritmica con solo 44%)</t>
  </si>
  <si>
    <t>Engelbert Humperdinck - A Man Without Love</t>
  </si>
  <si>
    <t>https://open.spotify.com/track/0oUBuOO4g9P4lREqfqR5nq</t>
  </si>
  <si>
    <t>ninguna categoria domina (mejor: incrementable-decreciente con solo 37%)</t>
  </si>
  <si>
    <t>Earth, Wind &amp; Fire, The Emotions - Boogie Wonderland (with The Emotions)</t>
  </si>
  <si>
    <t>https://open.spotify.com/track/6ztstiyZL6FXzh4aG46ZPD</t>
  </si>
  <si>
    <t>alta-ritmica (49%)</t>
  </si>
  <si>
    <t>Elton John - Rocket Man (I Think It's Going To Be A Long, Long Time)</t>
  </si>
  <si>
    <t>https://open.spotify.com/track/3gdewACMIVMEWVbyb8O9sY</t>
  </si>
  <si>
    <t>ninguna categoria domina (mejor: incrementable-decreciente con solo 38%)</t>
  </si>
  <si>
    <t>Fleetwood Mac - The Chain - 2004 Remaster</t>
  </si>
  <si>
    <t>https://open.spotify.com/track/5e9TFTbltYBg2xThimr0rU</t>
  </si>
  <si>
    <t>ninguna categoria domina (mejor: incrementable-decreciente con solo 41%)</t>
  </si>
  <si>
    <t>Bonnie Tyler - Total Eclipse of the Heart</t>
  </si>
  <si>
    <t>https://open.spotify.com/track/7wuJGgpTNzbUyn26IOY6rj</t>
  </si>
  <si>
    <t>incrementable-decreciente (48%)</t>
  </si>
  <si>
    <t>Frankie Valli - Can't Take My Eyes off You</t>
  </si>
  <si>
    <t>https://open.spotify.com/track/0bfvHnWWOeU1U5XeKyVLbW</t>
  </si>
  <si>
    <t>incrementable-decreciente (57%)</t>
  </si>
  <si>
    <t>Dschinghis Khan - Moskau</t>
  </si>
  <si>
    <t>https://open.spotify.com/track/5t77UGzgSBRDDnaxJvE9R3</t>
  </si>
  <si>
    <t>alta-agresiva (56%)</t>
  </si>
  <si>
    <t>Gilbert O'Sullivan - Clair</t>
  </si>
  <si>
    <t>https://open.spotify.com/track/6yzN1aLjcsP5coOUZPOrJb</t>
  </si>
  <si>
    <t>ninguna categoria domina (mejor: baja-ritmica con solo 38%)</t>
  </si>
  <si>
    <t>Gilbert O'Sullivan - What's In a Kiss - Guitar Version</t>
  </si>
  <si>
    <t>https://open.spotify.com/track/1DUhoEeBRBSzMFumpoLNkV</t>
  </si>
  <si>
    <t>alta-ritmica o baja-ritmica (empate real, 26% vs 24%)</t>
  </si>
  <si>
    <t>Eagles - Hotel California - 2013 Remaster</t>
  </si>
  <si>
    <t>https://open.spotify.com/track/40riOy7x9W7GXjyGp4pjAv</t>
  </si>
  <si>
    <t>baja-ritmica o alta-ritmica (empate real, 32% vs 29%)</t>
  </si>
  <si>
    <t>Frank Sinatra - My Way</t>
  </si>
  <si>
    <t>https://open.spotify.com/track/3spdoTYpuCpmq19tuD0bOe</t>
  </si>
  <si>
    <t>baja-contemplativa (53%)</t>
  </si>
  <si>
    <t>Foreigner - I Want to Know What Love Is - 1999 Remaster</t>
  </si>
  <si>
    <t>https://open.spotify.com/track/1JLn8RhQzHz3qDqsChcmBl</t>
  </si>
  <si>
    <t>incrementable-decreciente (58%)</t>
  </si>
  <si>
    <t>Gilbert O'Sullivan - Alone Again (Naturally)</t>
  </si>
  <si>
    <t>https://open.spotify.com/track/54pvEYFocTlvIAQOfXSjqV</t>
  </si>
  <si>
    <t>ninguna categoria domina (mejor: baja-contemplativa con solo 43%)</t>
  </si>
  <si>
    <t>JAWNY - lalala</t>
  </si>
  <si>
    <t>https://open.spotify.com/track/2pCR7dwwRpeAAnpUr1Ekwz</t>
  </si>
  <si>
    <t>Harry Styles - As It Was</t>
  </si>
  <si>
    <t>https://open.spotify.com/track/4Dvkj6JhhA12EX05fT7y2e</t>
  </si>
  <si>
    <t>baja-ritmica (47%)</t>
  </si>
  <si>
    <t>George Harrison - My Sweet Lord - 2014 Remaster</t>
  </si>
  <si>
    <t>https://open.spotify.com/track/0KZodeWxqxd88F9wY1cqgs</t>
  </si>
  <si>
    <t>Jim Croce - Time in a Bottle</t>
  </si>
  <si>
    <t>https://open.spotify.com/track/7uWFUpGuEfmxYeymkV95jn</t>
  </si>
  <si>
    <t>baja-contemplativa (63%)</t>
  </si>
  <si>
    <t>George Michael - Careless Whisper - Remastered</t>
  </si>
  <si>
    <t>https://open.spotify.com/track/5ac3D4hNLW7NFhYFCThXgh</t>
  </si>
  <si>
    <t>incrementable-decreciente o alta-ritmica (empate real, 32% vs 28%)</t>
  </si>
  <si>
    <t>John Travolta, Olivia Newton-John - You're The One That I Want - From â€œGreaseâ€</t>
  </si>
  <si>
    <t>https://open.spotify.com/track/0B9x2BRHqj3Qer7biM3pU3</t>
  </si>
  <si>
    <t>alta-agresiva (49%)</t>
  </si>
  <si>
    <t>JÃ³sean Log - Doma</t>
  </si>
  <si>
    <t>https://open.spotify.com/track/58cLm4PaHNt8DDr9ayZnNz</t>
  </si>
  <si>
    <t>ninguna categoria domina (mejor: baja-ritmica con solo 40%)</t>
  </si>
  <si>
    <t>Kansas - Dust in the Wind</t>
  </si>
  <si>
    <t>https://open.spotify.com/track/6zeE5tKyr8Nu882DQhhSQI</t>
  </si>
  <si>
    <t>baja-contemplativa (72%)</t>
  </si>
  <si>
    <t>Louis Armstrong - What A Wonderful World</t>
  </si>
  <si>
    <t>https://open.spotify.com/track/29U7stRjqHU6rMiS8BfaI9</t>
  </si>
  <si>
    <t>ninguna categoria domina (mejor: baja-contemplativa con solo 36%)</t>
  </si>
  <si>
    <t>Journey - Don't Stop Believin' (2022 Remaster)</t>
  </si>
  <si>
    <t>https://open.spotify.com/track/5RKQ5NdjSh2QzD4MaunT91</t>
  </si>
  <si>
    <t>Los Retros - Amtrak</t>
  </si>
  <si>
    <t>https://open.spotify.com/track/5F6ekGcdu623mkhTVgk64Z</t>
  </si>
  <si>
    <t>baja-contemplativa o baja-ritmica (empate real, 34% vs 33%)</t>
  </si>
  <si>
    <t>Kitty Kallen, Harry James - It's Been a Long, Long Time (with Harry James &amp; His Orchestra)</t>
  </si>
  <si>
    <t>https://open.spotify.com/track/61sVa3rLHOYqrshahMJj0A</t>
  </si>
  <si>
    <t>Kylie Minogue - Can't Get You out of My Head</t>
  </si>
  <si>
    <t>https://open.spotify.com/track/3E7ZwUMJFqpsDOJzEkBrQ7</t>
  </si>
  <si>
    <t>baja-ritmica (52%)</t>
  </si>
  <si>
    <t>Marvin Gaye, Tammi Terrell - Ain't No Mountain High Enough</t>
  </si>
  <si>
    <t>https://open.spotify.com/track/7tqhbajSfrz2F7E1Z75ASX</t>
  </si>
  <si>
    <t>ninguna categoria domina (mejor: incrementable-decreciente con solo 36%)</t>
  </si>
  <si>
    <t>La Bouche - Be My Lover</t>
  </si>
  <si>
    <t>https://open.spotify.com/track/3YB6nCSuFqNiqOvPtAPK9X</t>
  </si>
  <si>
    <t>alta-ritmica (53%)</t>
  </si>
  <si>
    <t>KISS - I Was Made For Lovin' You</t>
  </si>
  <si>
    <t>https://open.spotify.com/track/07q0QVgO56EorrSGHC48y3</t>
  </si>
  <si>
    <t>Lady Gaga - Americano</t>
  </si>
  <si>
    <t>https://open.spotify.com/track/1sRByD63uI8ZJAOSPDczXF</t>
  </si>
  <si>
    <t>Marmalade - Reflections Of My Life</t>
  </si>
  <si>
    <t>https://open.spotify.com/track/51vio68HmRHQr6lCWxboM9</t>
  </si>
  <si>
    <t>baja-contemplativa (55%)</t>
  </si>
  <si>
    <t>LP - Lost on You</t>
  </si>
  <si>
    <t>https://open.spotify.com/track/2NttzQ2kuVFFmEa8q4rsbu</t>
  </si>
  <si>
    <t>incrementable-decreciente o baja-ritmica (empate real, 37% vs 28%)</t>
  </si>
  <si>
    <t>Marty Balin - Hearts</t>
  </si>
  <si>
    <t>https://open.spotify.com/track/150LOyOS0ISsZ9IcwPf6iT</t>
  </si>
  <si>
    <t>baja-contemplativa o baja-ritmica (empate real, 36% vs 34%)</t>
  </si>
  <si>
    <t>My Chemical Romance - Teenagers</t>
  </si>
  <si>
    <t>https://open.spotify.com/track/7j31rVgGX9Q2blT92VBEA0</t>
  </si>
  <si>
    <t>alta-agresiva (59%)</t>
  </si>
  <si>
    <t>Lipps Inc. - Designer Music</t>
  </si>
  <si>
    <t>https://open.spotify.com/track/5aVvVMwfFwu5JSoMFZojDE</t>
  </si>
  <si>
    <t>alta-ritmica (58%)</t>
  </si>
  <si>
    <t>Neil Sedaka - Oh! Carol</t>
  </si>
  <si>
    <t>https://open.spotify.com/track/5zvOXJrzzUlvXwyuwZ0toZ</t>
  </si>
  <si>
    <t>ninguna categoria domina (mejor: baja-contemplativa con solo 41%)</t>
  </si>
  <si>
    <t>Modern Talking - Cheri Cheri Lady</t>
  </si>
  <si>
    <t>https://open.spotify.com/track/2aEuA8PSqLa17Y4hKPj5rr</t>
  </si>
  <si>
    <t>baja-ritmica (54%)</t>
  </si>
  <si>
    <t>Muse - Supermassive Black Hole</t>
  </si>
  <si>
    <t>https://open.spotify.com/track/3lPr8ghNDBLc2uZovNyLs9</t>
  </si>
  <si>
    <t>ninguna categoria domina (mejor: alta-ritmica con solo 39%)</t>
  </si>
  <si>
    <t>Michael Jackson - Beat It</t>
  </si>
  <si>
    <t>https://open.spotify.com/track/3BovdzfaX4jb5KFQwoPfAw</t>
  </si>
  <si>
    <t>alta-agresiva o alta-ritmica (empate real, 44% vs 34%)</t>
  </si>
  <si>
    <t>Michael Sembello - Maniac</t>
  </si>
  <si>
    <t>https://open.spotify.com/track/0QKfiqpEU4h9ycPSzIFwYe</t>
  </si>
  <si>
    <t>ninguna categoria domina (mejor: baja-ritmica con solo 45%)</t>
  </si>
  <si>
    <t>MÃ¥neskin - Beggin'</t>
  </si>
  <si>
    <t>https://open.spotify.com/track/3Wrjm47oTz2sjIgck11l5e</t>
  </si>
  <si>
    <t>alta-agresiva (47%)</t>
  </si>
  <si>
    <t>Nazareth - Love Hurts - Single Edit</t>
  </si>
  <si>
    <t>https://open.spotify.com/track/6MXUZ4VRQ41qTPWKgvHMCK</t>
  </si>
  <si>
    <t>incrementable-decreciente o baja-contemplativa (empate real, 41% vs 31%)</t>
  </si>
  <si>
    <t>Queen - Crazy Little Thing Called Love - Remastered 2011</t>
  </si>
  <si>
    <t>https://open.spotify.com/track/6xdLJrVj4vIXwhuG8TMopk</t>
  </si>
  <si>
    <t>alta-ritmica o baja-ritmica (empate real, 30% vs 24%)</t>
  </si>
  <si>
    <t>Pink Floyd - Another Brick in the Wall, Pt. 2</t>
  </si>
  <si>
    <t>https://open.spotify.com/track/4gMgiXfqyzZLMhsksGmbQV</t>
  </si>
  <si>
    <t>alta-ritmica o incrementable-decreciente (empate real, 33% vs 24%)</t>
  </si>
  <si>
    <t>Led Zeppelin - Stairway to Heaven - Remaster</t>
  </si>
  <si>
    <t>https://open.spotify.com/track/5CQ30WqJwcep0pYcV4AMNc</t>
  </si>
  <si>
    <t>OneRepublic - Counting Stars</t>
  </si>
  <si>
    <t>https://open.spotify.com/track/2tpWsVSb9UEmDRxAl1zhX1</t>
  </si>
  <si>
    <t>incrementable-decreciente o baja-ritmica (empate real, 31% vs 27%)</t>
  </si>
  <si>
    <t>Ritchie Valens - La Bamba - Single Version</t>
  </si>
  <si>
    <t>https://open.spotify.com/track/2aEeghgUcnu75tzcolFMfs</t>
  </si>
  <si>
    <t>Queen - Don't Stop Me Now - ...Revisited</t>
  </si>
  <si>
    <t>https://open.spotify.com/track/3INsYP1Y8GG4qJvBsKCdXC</t>
  </si>
  <si>
    <t>alta-agresiva (60%)</t>
  </si>
  <si>
    <t>Queen - Bohemian Rhapsody - Remastered 2011</t>
  </si>
  <si>
    <t>https://open.spotify.com/track/4u7EnebtmKWzUH433cf5Qv</t>
  </si>
  <si>
    <t>Rick James - Super Freak</t>
  </si>
  <si>
    <t>https://open.spotify.com/track/2dCmGcEOQrMQhMMS8Vj7Ca</t>
  </si>
  <si>
    <t>alta-ritmica (50%)</t>
  </si>
  <si>
    <t>Radiohead - Creep</t>
  </si>
  <si>
    <t>https://open.spotify.com/track/70LcF31zb1H0PyJoS1Sx1r</t>
  </si>
  <si>
    <t>incrementable-decreciente o alta-agresiva (empate real, 36% vs 25%)</t>
  </si>
  <si>
    <t>Radiohead - No Surprises</t>
  </si>
  <si>
    <t>https://open.spotify.com/track/10nyNJ6zNy2YVYLrcwLccB</t>
  </si>
  <si>
    <t>baja-contemplativa (61%)</t>
  </si>
  <si>
    <t>Roy Orbison - Oh, Pretty Woman</t>
  </si>
  <si>
    <t>https://open.spotify.com/track/48i055G1OT5KxGGftwFxWy</t>
  </si>
  <si>
    <t>baja-ritmica o alta-ritmica (empate real, 32% vs 25%)</t>
  </si>
  <si>
    <t>Queen - Somebody To Love - Remastered 2011</t>
  </si>
  <si>
    <t>https://open.spotify.com/track/4rDbp1vnvEhieiccprPMdI</t>
  </si>
  <si>
    <t>Radiohead - Exit Music (For A Film)</t>
  </si>
  <si>
    <t>https://open.spotify.com/track/0z1o5L7HJx562xZSATcIpY</t>
  </si>
  <si>
    <t>incrementable-decreciente (50%)</t>
  </si>
  <si>
    <t>Santo &amp; Johnny - Sleep Walk</t>
  </si>
  <si>
    <t>https://open.spotify.com/track/0yK8sWD6cfrc7pGfaPIcZH</t>
  </si>
  <si>
    <t>baja-contemplativa (56%)</t>
  </si>
  <si>
    <t>Radiohead - Street Spirit (Fade Out)</t>
  </si>
  <si>
    <t>https://open.spotify.com/track/2QwObYJWyJTiozvs0RI7CF</t>
  </si>
  <si>
    <t>Sia - Snowman</t>
  </si>
  <si>
    <t>https://open.spotify.com/track/7uoFMmxln0GPXQ0AcCBXRq</t>
  </si>
  <si>
    <t>baja-ritmica o baja-contemplativa (empate real, 34% vs 25%)</t>
  </si>
  <si>
    <t>Surf Curse - Freaks</t>
  </si>
  <si>
    <t>https://open.spotify.com/track/7EkWXAI1wn8Ii883ecd9xr</t>
  </si>
  <si>
    <t>alta-agresiva o alta-ritmica (empate real, 34% vs 26%)</t>
  </si>
  <si>
    <t>Shawn Mendes - There's Nothing Holdin' Me Back</t>
  </si>
  <si>
    <t>https://open.spotify.com/track/7JJmb5XwzOO8jgpou264Ml</t>
  </si>
  <si>
    <t>alta-ritmica o baja-ritmica (empate real, 32% vs 25%)</t>
  </si>
  <si>
    <t>Roberta Flack - Killing Me Softly With His Song</t>
  </si>
  <si>
    <t>https://open.spotify.com/track/3gsCAGsWr6pUm1Vy7CPPob</t>
  </si>
  <si>
    <t>baja-ritmica o baja-contemplativa (empate real, 36% vs 28%)</t>
  </si>
  <si>
    <t>Tally Hall - Hidden In the Sand</t>
  </si>
  <si>
    <t>https://open.spotify.com/track/0RjG5JmdOWXAR68dGlKBA5</t>
  </si>
  <si>
    <t>Rupert Holmes - Escape (The Pina Colada Song)</t>
  </si>
  <si>
    <t>https://open.spotify.com/track/5IMtdHjJ1OtkxbGe4zfUxQ</t>
  </si>
  <si>
    <t>alta-ritmica o alta-agresiva (empate real, 40% vs 31%)</t>
  </si>
  <si>
    <t>Rod Stewart - Young Turks</t>
  </si>
  <si>
    <t>https://open.spotify.com/track/6sBA8b9bT8Z8G8TkVDvNTK</t>
  </si>
  <si>
    <t>alta-ritmica (52%)</t>
  </si>
  <si>
    <t>System Of A Down - Lonely Day</t>
  </si>
  <si>
    <t>https://open.spotify.com/track/1VNWaY3uNfoeWqb5U8x2QX</t>
  </si>
  <si>
    <t>System Of A Down - Chop Suey!</t>
  </si>
  <si>
    <t>https://open.spotify.com/track/2DlHlPMa4M17kufBvI2lEN</t>
  </si>
  <si>
    <t>alta-agresiva (57%)</t>
  </si>
  <si>
    <t>Tally Hall - The Bidding</t>
  </si>
  <si>
    <t>https://open.spotify.com/track/0HBrtXJohbIW4IhPZ50GmH</t>
  </si>
  <si>
    <t>incrementable-decreciente (47%)</t>
  </si>
  <si>
    <t>The Beatles - Can't Buy Me Love - Remastered 2009</t>
  </si>
  <si>
    <t>https://open.spotify.com/track/3SdingSsFcZDZAyvcJbgAw</t>
  </si>
  <si>
    <t>alta-agresiva o alta-ritmica (empate real, 27% vs 24%)</t>
  </si>
  <si>
    <t>The Beach Boys - I Get Around (Mono)</t>
  </si>
  <si>
    <t>https://open.spotify.com/track/3v9xlH6BpmRbqL7hgNJhfT</t>
  </si>
  <si>
    <t>incrementable-decreciente o alta-ritmica (empate real, 28% vs 24%)</t>
  </si>
  <si>
    <t>The Beatles - And I Love Her - Remastered 2009</t>
  </si>
  <si>
    <t>https://open.spotify.com/track/65vdMBskhx3akkG9vQlSH1</t>
  </si>
  <si>
    <t>The Beatles - Eleanor Rigby - Remastered 2009</t>
  </si>
  <si>
    <t>https://open.spotify.com/track/5GjPQ0eI7AgmOnADn1EO6Q</t>
  </si>
  <si>
    <t>ninguna categoria domina (mejor: baja-contemplativa con solo 44%)</t>
  </si>
  <si>
    <t>The Beatles - Yesterday - Remastered 2009</t>
  </si>
  <si>
    <t>https://open.spotify.com/track/3BQHpFgAp4l80e1XslIjNI</t>
  </si>
  <si>
    <t>baja-contemplativa (78%)</t>
  </si>
  <si>
    <t>Tears For Fears - Everybody Wants To Rule The World</t>
  </si>
  <si>
    <t>https://open.spotify.com/track/4RvWPyQ5RL0ao9LPZeSouE</t>
  </si>
  <si>
    <t>The Beatles - Michelle - Remastered 2009</t>
  </si>
  <si>
    <t>https://open.spotify.com/track/5By7Pzgl6TMuVJG168VWzS</t>
  </si>
  <si>
    <t>baja-contemplativa (62%)</t>
  </si>
  <si>
    <t>The Beatles - Here Comes The Sun - Remastered 2009</t>
  </si>
  <si>
    <t>https://open.spotify.com/track/6dGnYIeXmHdcikdzNNDMm2</t>
  </si>
  <si>
    <t>The Animals - House of the Rising Sun</t>
  </si>
  <si>
    <t>https://open.spotify.com/track/4mn2kNTqiGLwaUR8JdhJ1l</t>
  </si>
  <si>
    <t>The Cure - Boys Don't Cry</t>
  </si>
  <si>
    <t>https://open.spotify.com/track/1QFh8OH1e78dGd3VyJZCAC</t>
  </si>
  <si>
    <t>The Clash - Should I Stay or Should I Go - Remastered</t>
  </si>
  <si>
    <t>https://open.spotify.com/track/39shmbIHICJ2Wxnk1fPSdz</t>
  </si>
  <si>
    <t>The Beatles - Come Together - Remastered 2009</t>
  </si>
  <si>
    <t>https://open.spotify.com/track/2EqlS6tkEnglzr7tkKAAYD</t>
  </si>
  <si>
    <t>baja-ritmica o baja-contemplativa (empate real, 40% vs 32%)</t>
  </si>
  <si>
    <t>The Monkees - I'm a Believer - 2006 Remaster</t>
  </si>
  <si>
    <t>https://open.spotify.com/track/3G7tRC24Uh09Hmp1KZ7LQ2</t>
  </si>
  <si>
    <t>alta-ritmica o alta-agresiva (empate real, 34% vs 25%)</t>
  </si>
  <si>
    <t>The Hollies - Long Cool Woman (In a Black Dress) - 1999 Remaster</t>
  </si>
  <si>
    <t>https://open.spotify.com/track/1J5XEPamp7iQaCU0aFuMnd</t>
  </si>
  <si>
    <t>ninguna categoria domina (mejor: alta-ritmica con solo 37%)</t>
  </si>
  <si>
    <t>The Drums - I Don't Know How To Love</t>
  </si>
  <si>
    <t>https://open.spotify.com/track/2YvWonOJesvP0yu9IFJY7S</t>
  </si>
  <si>
    <t>ninguna categoria domina (mejor: baja-ritmica con solo 42%)</t>
  </si>
  <si>
    <t>The Ronettes - Be My Baby</t>
  </si>
  <si>
    <t>https://open.spotify.com/track/1WN4uNclrDuczTO3bCr8s1</t>
  </si>
  <si>
    <t>baja-ritmica o alta-agresiva (empate real, 27% vs 26%)</t>
  </si>
  <si>
    <t>The Righteous Brothers - Unchained Melody</t>
  </si>
  <si>
    <t>https://open.spotify.com/track/2qhASBzpbFhPRtrnZ5lLnz</t>
  </si>
  <si>
    <t>The Human League - Don't You Want Me</t>
  </si>
  <si>
    <t>https://open.spotify.com/track/3L7RtEcu1Hw3OXrpnthngx</t>
  </si>
  <si>
    <t>The Rolling Stones - (I Can't Get No) Satisfaction - Mono</t>
  </si>
  <si>
    <t>https://open.spotify.com/track/2PzU4IB8Dr6mxV3lHuaG34</t>
  </si>
  <si>
    <t>incrementable-decreciente o alta-ritmica (empate real, 28% vs 28%)</t>
  </si>
  <si>
    <t>The Rolling Stones - Paint It, Black</t>
  </si>
  <si>
    <t>https://open.spotify.com/track/63T7DJ1AFDD6Bn8VzG6JE8</t>
  </si>
  <si>
    <t>alta-ritmica o baja-ritmica (empate real, 28% vs 26%)</t>
  </si>
  <si>
    <t>Tina Charles - I Love to Love</t>
  </si>
  <si>
    <t>https://open.spotify.com/track/5jWI1xNxABzDRFTnD2yp8L</t>
  </si>
  <si>
    <t>The Smiths - There Is a Light That Never Goes Out - 2011 Remaster</t>
  </si>
  <si>
    <t>https://open.spotify.com/track/0WQiDwKJclirSYG9v5tayI</t>
  </si>
  <si>
    <t>ninguna categoria domina (mejor: baja-ritmica con solo 39%)</t>
  </si>
  <si>
    <t>Vundabar - Alien Blues</t>
  </si>
  <si>
    <t>https://open.spotify.com/track/11iIikXxC6NP0Ma8vMD27x</t>
  </si>
  <si>
    <t>alta-agresiva o baja-contemplativa (empate real, 29% vs 21%)</t>
  </si>
  <si>
    <t>The White Stripes - Seven Nation Army</t>
  </si>
  <si>
    <t>https://open.spotify.com/track/3dPQuX8Gs42Y7b454ybpMR</t>
  </si>
  <si>
    <t>Twenty One Pilots - Ride</t>
  </si>
  <si>
    <t>https://open.spotify.com/track/2Z8WuEywRWYTKe1NybPQEW</t>
  </si>
  <si>
    <t>incrementable-decreciente o alta-ritmica (empate real, 27% vs 27%)</t>
  </si>
  <si>
    <t>Twenty One Pilots - Stressed Out</t>
  </si>
  <si>
    <t>https://open.spotify.com/track/3CRDbSIZ4r5MsZ0YwxuEkn</t>
  </si>
  <si>
    <t>ninguna categoria domina (mejor: alta-ritmica con solo 38%)</t>
  </si>
  <si>
    <t>The Strokes - The Adults Are Talking</t>
  </si>
  <si>
    <t>https://open.spotify.com/track/5ruzrDWcT0vuJIOMW7gMnW</t>
  </si>
  <si>
    <t>baja-ritmica (55%)</t>
  </si>
  <si>
    <t>The Verve - Bitter Sweet Symphony - Remastered 2016</t>
  </si>
  <si>
    <t>https://open.spotify.com/track/57iDDD9N9tTWe75x6qhStw</t>
  </si>
  <si>
    <t>Count of top1_categoria</t>
  </si>
  <si>
    <t>FALSE</t>
  </si>
  <si>
    <t>TRUE</t>
  </si>
  <si>
    <t>abs</t>
  </si>
  <si>
    <t>synth-pop</t>
  </si>
  <si>
    <t>eurodance</t>
  </si>
  <si>
    <t>pop-rock</t>
  </si>
  <si>
    <t>pop</t>
  </si>
  <si>
    <t>soul</t>
  </si>
  <si>
    <t>disco</t>
  </si>
  <si>
    <t>funk</t>
  </si>
  <si>
    <t>dream-pop</t>
  </si>
  <si>
    <t>folk-pop</t>
  </si>
  <si>
    <t>blue-eyed-soul</t>
  </si>
  <si>
    <t>soft-rock</t>
  </si>
  <si>
    <t>surf-rock</t>
  </si>
  <si>
    <t>rock-and-roll</t>
  </si>
  <si>
    <t>indie-rock</t>
  </si>
  <si>
    <t>blues-rock</t>
  </si>
  <si>
    <t>folk-rock</t>
  </si>
  <si>
    <t>progressive-rock</t>
  </si>
  <si>
    <t>hard-rock</t>
  </si>
  <si>
    <t>alternative-rock</t>
  </si>
  <si>
    <t>garage-rock</t>
  </si>
  <si>
    <t>baroque-pop</t>
  </si>
  <si>
    <t>roots-rock</t>
  </si>
  <si>
    <t>indie-pop</t>
  </si>
  <si>
    <t>traditional-pop</t>
  </si>
  <si>
    <t>classic-rock</t>
  </si>
  <si>
    <t>indie-folk</t>
  </si>
  <si>
    <t>reggae-fusion</t>
  </si>
  <si>
    <t>instrumental-rock</t>
  </si>
  <si>
    <t>eurodisco</t>
  </si>
  <si>
    <t>punk-rock</t>
  </si>
  <si>
    <t>dance-pop</t>
  </si>
  <si>
    <t>arena-rock</t>
  </si>
  <si>
    <t>emo-rock</t>
  </si>
  <si>
    <t>alternative-metal</t>
  </si>
  <si>
    <t>psychedelic-rock</t>
  </si>
  <si>
    <t>alternative-pop</t>
  </si>
  <si>
    <t>Row Labels</t>
  </si>
  <si>
    <t>Grand Total</t>
  </si>
  <si>
    <t>Column Labels</t>
  </si>
  <si>
    <t>Count of categoria_humano</t>
  </si>
  <si>
    <t>genero</t>
  </si>
  <si>
    <t>valido-para-test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</si>
</sst>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0" fillId="0" borderId="0" xfId="0" pivotButton="1"/>
    <xf numFmtId="9" fontId="0" fillId="0" borderId="0" xfId="1" applyFont="1"/>
    <xf numFmtId="0" fontId="16" fillId="33" borderId="0" xfId="0" applyFont="1" applyFill="1"/>
    <xf numFmtId="9" fontId="16" fillId="33" borderId="0" xfId="1" applyFont="1" applyFill="1"/>
    <xf numFmtId="9" fontId="0" fillId="34" borderId="0" xfId="1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35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li" refreshedDate="46219.581372685185" createdVersion="8" refreshedVersion="8" minRefreshableVersion="3" recordCount="119" xr:uid="{0479EB6C-1706-4CFA-92B4-82E64F0DD227}">
  <cacheSource type="worksheet">
    <worksheetSource ref="A1:M120" sheet="_escenarios_modelo_rf_rock_engl"/>
  </cacheSource>
  <cacheFields count="10">
    <cacheField name="filename" numFmtId="0">
      <sharedItems/>
    </cacheField>
    <cacheField name="spotify_url" numFmtId="0">
      <sharedItems/>
    </cacheField>
    <cacheField name="categoria_humano" numFmtId="0">
      <sharedItems count="5">
        <s v="incrementable-decreciente"/>
        <s v="baja-ritmica"/>
        <s v="alta-agresiva"/>
        <s v="alta-ritmica"/>
        <s v="baja-contemplativa"/>
      </sharedItems>
    </cacheField>
    <cacheField name="escenario" numFmtId="0">
      <sharedItems count="3">
        <s v="confiable"/>
        <s v="ambigua"/>
        <s v="revisar"/>
      </sharedItems>
    </cacheField>
    <cacheField name="descripcion" numFmtId="0">
      <sharedItems/>
    </cacheField>
    <cacheField name="top1_categoria" numFmtId="0">
      <sharedItems count="5">
        <s v="incrementable-decreciente"/>
        <s v="baja-contemplativa"/>
        <s v="alta-agresiva"/>
        <s v="alta-ritmica"/>
        <s v="baja-ritmica"/>
      </sharedItems>
    </cacheField>
    <cacheField name="top1_prob" numFmtId="0">
      <sharedItems containsSemiMixedTypes="0" containsString="0" containsNumber="1" minValue="0.25900000000000001" maxValue="0.78" count="103">
        <n v="0.6"/>
        <n v="0.33200000000000002"/>
        <n v="0.55200000000000005"/>
        <n v="0.48199999999999998"/>
        <n v="0.442"/>
        <n v="0.30399999999999999"/>
        <n v="0.48299999999999998"/>
        <n v="0.33900000000000002"/>
        <n v="0.56299999999999994"/>
        <n v="0.39700000000000002"/>
        <n v="0.38600000000000001"/>
        <n v="0.46100000000000002"/>
        <n v="0.58799999999999997"/>
        <n v="0.42099999999999999"/>
        <n v="0.44600000000000001"/>
        <n v="0.53600000000000003"/>
        <n v="0.48"/>
        <n v="0.32600000000000001"/>
        <n v="0.34799999999999998"/>
        <n v="0.434"/>
        <n v="0.46800000000000003"/>
        <n v="0.436"/>
        <n v="0.36899999999999999"/>
        <n v="0.48799999999999999"/>
        <n v="0.38300000000000001"/>
        <n v="0.40799999999999997"/>
        <n v="0.47799999999999998"/>
        <n v="0.56799999999999995"/>
        <n v="0.56000000000000005"/>
        <n v="0.379"/>
        <n v="0.25900000000000001"/>
        <n v="0.31900000000000001"/>
        <n v="0.52600000000000002"/>
        <n v="0.57899999999999996"/>
        <n v="0.433"/>
        <n v="0.437"/>
        <n v="0.47199999999999998"/>
        <n v="0.373"/>
        <n v="0.627"/>
        <n v="0.32100000000000001"/>
        <n v="0.49299999999999999"/>
        <n v="0.40200000000000002"/>
        <n v="0.72099999999999997"/>
        <n v="0.35799999999999998"/>
        <n v="0.56899999999999995"/>
        <n v="0.34399999999999997"/>
        <n v="0.45900000000000002"/>
        <n v="0.52"/>
        <n v="0.35599999999999998"/>
        <n v="0.52700000000000002"/>
        <n v="0.48599999999999999"/>
        <n v="0.56100000000000005"/>
        <n v="0.54900000000000004"/>
        <n v="0.36199999999999999"/>
        <n v="0.58699999999999997"/>
        <n v="0.57499999999999996"/>
        <n v="0.41299999999999998"/>
        <n v="0.39200000000000002"/>
        <n v="0.441"/>
        <n v="0.44900000000000001"/>
        <n v="0.46600000000000003"/>
        <n v="0.40500000000000003"/>
        <n v="0.29699999999999999"/>
        <n v="0.307"/>
        <n v="0.42499999999999999"/>
        <n v="0.59799999999999998"/>
        <n v="0.59699999999999998"/>
        <n v="0.501"/>
        <n v="0.61099999999999999"/>
        <n v="0.315"/>
        <n v="0.45"/>
        <n v="0.55600000000000005"/>
        <n v="0.34100000000000003"/>
        <n v="0.36099999999999999"/>
        <n v="0.625"/>
        <n v="0.40300000000000002"/>
        <n v="0.52100000000000002"/>
        <n v="0.60299999999999998"/>
        <n v="0.46700000000000003"/>
        <n v="0.27300000000000002"/>
        <n v="0.28000000000000003"/>
        <n v="0.53300000000000003"/>
        <n v="0.438"/>
        <n v="0.78"/>
        <n v="0.44800000000000001"/>
        <n v="0.624"/>
        <n v="0.42699999999999999"/>
        <n v="0.56499999999999995"/>
        <n v="0.4"/>
        <n v="0.34300000000000003"/>
        <n v="0.371"/>
        <n v="0.41799999999999998"/>
        <n v="0.26500000000000001"/>
        <n v="0.52500000000000002"/>
        <n v="0.28499999999999998"/>
        <n v="0.28299999999999997"/>
        <n v="0.51600000000000001"/>
        <n v="0.39400000000000002"/>
        <n v="0.29299999999999998"/>
        <n v="0.36699999999999999"/>
        <n v="0.26900000000000002"/>
        <n v="0.55400000000000005"/>
        <n v="0.57599999999999996"/>
      </sharedItems>
    </cacheField>
    <cacheField name="top2_categoria" numFmtId="0">
      <sharedItems count="5">
        <s v="alta-agresiva"/>
        <s v="baja-ritmica"/>
        <s v="alta-ritmica"/>
        <s v="incrementable-decreciente"/>
        <s v="baja-contemplativa"/>
      </sharedItems>
    </cacheField>
    <cacheField name="top2_prob" numFmtId="0">
      <sharedItems containsSemiMixedTypes="0" containsString="0" containsNumber="1" minValue="8.1000000000000003E-2" maxValue="0.34399999999999997"/>
    </cacheField>
    <cacheField name="coincide_con_humano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li" refreshedDate="46238.444434837962" createdVersion="8" refreshedVersion="8" minRefreshableVersion="3" recordCount="119" xr:uid="{3FBAFF15-704F-4CB5-8364-B21FC4943550}">
  <cacheSource type="worksheet">
    <worksheetSource ref="A1:N120" sheet="_escenarios_modelo_rf_rock_engl"/>
  </cacheSource>
  <cacheFields count="14">
    <cacheField name="filename" numFmtId="0">
      <sharedItems/>
    </cacheField>
    <cacheField name="genero" numFmtId="0">
      <sharedItems/>
    </cacheField>
    <cacheField name="valido-para-test" numFmtId="0">
      <sharedItems count="2">
        <b v="1"/>
        <b v="0"/>
      </sharedItems>
    </cacheField>
    <cacheField name="spotify_url" numFmtId="0">
      <sharedItems/>
    </cacheField>
    <cacheField name="categoria_humano" numFmtId="0">
      <sharedItems count="5">
        <s v="alta-ritmica"/>
        <s v="incrementable-decreciente"/>
        <s v="baja-ritmica"/>
        <s v="alta-agresiva"/>
        <s v="baja-contemplativa"/>
      </sharedItems>
    </cacheField>
    <cacheField name="escenario" numFmtId="0">
      <sharedItems/>
    </cacheField>
    <cacheField name="descripcion" numFmtId="0">
      <sharedItems/>
    </cacheField>
    <cacheField name="top1_categoria" numFmtId="0">
      <sharedItems count="5">
        <s v="incrementable-decreciente"/>
        <s v="baja-ritmica"/>
        <s v="alta-agresiva"/>
        <s v="baja-contemplativa"/>
        <s v="alta-ritmica"/>
      </sharedItems>
    </cacheField>
    <cacheField name="top1_prob" numFmtId="9">
      <sharedItems containsSemiMixedTypes="0" containsString="0" containsNumber="1" minValue="0.25900000000000001" maxValue="0.78"/>
    </cacheField>
    <cacheField name="top2_categoria" numFmtId="0">
      <sharedItems/>
    </cacheField>
    <cacheField name="top2_prob" numFmtId="9">
      <sharedItems containsSemiMixedTypes="0" containsString="0" containsNumber="1" minValue="8.1000000000000003E-2" maxValue="0.34399999999999997"/>
    </cacheField>
    <cacheField name="abs" numFmtId="9">
      <sharedItems containsSemiMixedTypes="0" containsString="0" containsNumber="1" minValue="0" maxValue="0.69900000000000007"/>
    </cacheField>
    <cacheField name="coincide_con_humano" numFmtId="0">
      <sharedItems count="2">
        <b v="0"/>
        <b v="1"/>
      </sharedItems>
    </cacheField>
    <cacheField name="revisa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Barry Manilow - Can't Smile Without You"/>
    <s v="https://open.spotify.com/track/7qUTZEf6bgiApJEXpMAH5y"/>
    <x v="0"/>
    <x v="0"/>
    <s v="incrementable-decreciente (60%)"/>
    <x v="0"/>
    <x v="0"/>
    <x v="0"/>
    <n v="0.129"/>
    <x v="0"/>
  </r>
  <r>
    <s v="Billie Eilish - bad guy"/>
    <s v="https://open.spotify.com/track/2Fxmhks0bxGSBdJ92vM42m"/>
    <x v="1"/>
    <x v="1"/>
    <s v="baja-contemplativa o baja-ritmica (empate real, 33% vs 30%)"/>
    <x v="1"/>
    <x v="1"/>
    <x v="1"/>
    <n v="0.30199999999999999"/>
    <x v="1"/>
  </r>
  <r>
    <s v="Blondie - One Way Or Another"/>
    <s v="https://open.spotify.com/track/1gKmnrz6SzJlGMNRKBLx1V"/>
    <x v="2"/>
    <x v="0"/>
    <s v="alta-agresiva (55%)"/>
    <x v="2"/>
    <x v="2"/>
    <x v="2"/>
    <n v="0.16900000000000001"/>
    <x v="0"/>
  </r>
  <r>
    <s v="Ace of Base - All That She Wants"/>
    <s v="https://open.spotify.com/track/6kWJvPfC4DgUpRsXKNa9z9"/>
    <x v="1"/>
    <x v="0"/>
    <s v="alta-ritmica (48%)"/>
    <x v="3"/>
    <x v="3"/>
    <x v="1"/>
    <n v="0.253"/>
    <x v="1"/>
  </r>
  <r>
    <s v="Boney M. - Gotta Go Home"/>
    <s v="https://open.spotify.com/track/4MvGHDenL4t9JW1RHB4rK2"/>
    <x v="3"/>
    <x v="2"/>
    <s v="ninguna categoria domina (mejor: alta-ritmica con solo 44%)"/>
    <x v="3"/>
    <x v="4"/>
    <x v="0"/>
    <n v="0.27300000000000002"/>
    <x v="0"/>
  </r>
  <r>
    <s v="Blondie - Maria - Radio Edit"/>
    <s v="https://open.spotify.com/track/4yHHx0rMvgCOoYoDWNdcR3"/>
    <x v="0"/>
    <x v="1"/>
    <s v="alta-agresiva o incrementable-decreciente (empate real, 30% vs 24%)"/>
    <x v="2"/>
    <x v="5"/>
    <x v="3"/>
    <n v="0.24299999999999999"/>
    <x v="1"/>
  </r>
  <r>
    <s v="America, George Martin - A Horse with No Name"/>
    <s v="https://open.spotify.com/track/54eZmuggBFJbV7k248bTTt"/>
    <x v="1"/>
    <x v="0"/>
    <s v="baja-ritmica (48%)"/>
    <x v="4"/>
    <x v="6"/>
    <x v="4"/>
    <n v="0.21199999999999999"/>
    <x v="0"/>
  </r>
  <r>
    <s v="Ace of Base - Happy Nation"/>
    <s v="https://open.spotify.com/track/7yCF65vpc7sUwPjftI0iFb"/>
    <x v="1"/>
    <x v="1"/>
    <s v="alta-ritmica o baja-ritmica (empate real, 34% vs 28%)"/>
    <x v="3"/>
    <x v="7"/>
    <x v="1"/>
    <n v="0.27800000000000002"/>
    <x v="1"/>
  </r>
  <r>
    <s v="Bee Gees - Stayin' Alive"/>
    <s v="https://open.spotify.com/track/4UDmDIqJIbrW0hMBQMFOsM"/>
    <x v="3"/>
    <x v="0"/>
    <s v="alta-ritmica (56%)"/>
    <x v="3"/>
    <x v="8"/>
    <x v="0"/>
    <n v="0.219"/>
    <x v="0"/>
  </r>
  <r>
    <s v="ABBA - Lay All Your Love On Me"/>
    <s v="https://open.spotify.com/track/4euAGZTszWPrriggYK0HG9"/>
    <x v="3"/>
    <x v="2"/>
    <s v="ninguna categoria domina (mejor: alta-ritmica con solo 40%)"/>
    <x v="3"/>
    <x v="9"/>
    <x v="1"/>
    <n v="0.27"/>
    <x v="0"/>
  </r>
  <r>
    <s v="Alphaville - Big in Japan"/>
    <s v="https://open.spotify.com/track/3BZGi1yUqQyCNC868AqUGG"/>
    <x v="3"/>
    <x v="1"/>
    <s v="alta-ritmica o baja-ritmica (empate real, 39% vs 33%)"/>
    <x v="3"/>
    <x v="10"/>
    <x v="1"/>
    <n v="0.32800000000000001"/>
    <x v="0"/>
  </r>
  <r>
    <s v="Air Supply - Making Love Out of Nothing at All"/>
    <s v="https://open.spotify.com/track/188ogJrKez9zzsidIg22X8"/>
    <x v="0"/>
    <x v="0"/>
    <s v="incrementable-decreciente (46%)"/>
    <x v="0"/>
    <x v="11"/>
    <x v="4"/>
    <n v="0.315"/>
    <x v="0"/>
  </r>
  <r>
    <s v="Beach House - Space Song"/>
    <s v="https://open.spotify.com/track/1ujxjsoNvh4XgS2fUNwkZ2"/>
    <x v="4"/>
    <x v="0"/>
    <s v="baja-contemplativa (59%)"/>
    <x v="1"/>
    <x v="12"/>
    <x v="3"/>
    <n v="0.23499999999999999"/>
    <x v="0"/>
  </r>
  <r>
    <s v="Bee Gees - Tragedy"/>
    <s v="https://open.spotify.com/track/6UXXeFqMBGiqjkzQzkMT3E"/>
    <x v="3"/>
    <x v="2"/>
    <s v="ninguna categoria domina (mejor: alta-ritmica con solo 42%)"/>
    <x v="3"/>
    <x v="13"/>
    <x v="0"/>
    <n v="0.29099999999999998"/>
    <x v="0"/>
  </r>
  <r>
    <s v="Billy Joel - Piano Man"/>
    <s v="https://open.spotify.com/track/70C4NyhjD5OZUMzvWZ3njJ"/>
    <x v="0"/>
    <x v="2"/>
    <s v="ninguna categoria domina (mejor: incrementable-decreciente con solo 45%)"/>
    <x v="0"/>
    <x v="14"/>
    <x v="1"/>
    <n v="0.246"/>
    <x v="0"/>
  </r>
  <r>
    <s v="Boney M. - Rasputin"/>
    <s v="https://open.spotify.com/track/5lWSa1rmuSL6OBPOnkAqoa"/>
    <x v="3"/>
    <x v="0"/>
    <s v="alta-ritmica (54%)"/>
    <x v="3"/>
    <x v="15"/>
    <x v="1"/>
    <n v="0.21099999999999999"/>
    <x v="0"/>
  </r>
  <r>
    <s v="Bruno Mars - The Lazy Song"/>
    <s v="https://open.spotify.com/track/386RUes7n1uM1yfzgeUuwp"/>
    <x v="1"/>
    <x v="0"/>
    <s v="alta-ritmica (48%)"/>
    <x v="3"/>
    <x v="16"/>
    <x v="1"/>
    <n v="0.26100000000000001"/>
    <x v="1"/>
  </r>
  <r>
    <s v="Boney M. - Sunny"/>
    <s v="https://open.spotify.com/track/3pf96IFggfQuT6Gafqx2rt"/>
    <x v="1"/>
    <x v="2"/>
    <s v="ninguna categoria domina (mejor: alta-agresiva con solo 39%)"/>
    <x v="2"/>
    <x v="10"/>
    <x v="1"/>
    <n v="0.25"/>
    <x v="1"/>
  </r>
  <r>
    <s v="Demis Roussos - Forever and Ever"/>
    <s v="https://open.spotify.com/track/72MJeNXJ3LKfa73U4WrEtA"/>
    <x v="1"/>
    <x v="1"/>
    <s v="incrementable-decreciente o baja-ritmica (empate real, 33% vs 29%)"/>
    <x v="0"/>
    <x v="17"/>
    <x v="1"/>
    <n v="0.28799999999999998"/>
    <x v="1"/>
  </r>
  <r>
    <s v="Bruno Mars - Locked out of Heaven"/>
    <s v="https://open.spotify.com/track/3w3y8KPTfNeOKPiqUTakBh"/>
    <x v="3"/>
    <x v="1"/>
    <s v="alta-ritmica o baja-ritmica (empate real, 35% vs 24%)"/>
    <x v="3"/>
    <x v="18"/>
    <x v="1"/>
    <n v="0.24099999999999999"/>
    <x v="0"/>
  </r>
  <r>
    <s v="Elvis Presley - Jailhouse Rock"/>
    <s v="https://open.spotify.com/track/452KBpASS5lZLeJWX9Ixub"/>
    <x v="3"/>
    <x v="2"/>
    <s v="ninguna categoria domina (mejor: alta-ritmica con solo 43%)"/>
    <x v="3"/>
    <x v="19"/>
    <x v="0"/>
    <n v="0.216"/>
    <x v="0"/>
  </r>
  <r>
    <s v="Earth, Wind &amp; Fire - September"/>
    <s v="https://open.spotify.com/track/3kXoKlD84c6OmIcOLfrfEs"/>
    <x v="3"/>
    <x v="0"/>
    <s v="alta-ritmica (47%)"/>
    <x v="3"/>
    <x v="20"/>
    <x v="0"/>
    <n v="0.26500000000000001"/>
    <x v="0"/>
  </r>
  <r>
    <s v="Donna Summer - On The Radio"/>
    <s v="https://open.spotify.com/track/41v23mPw4Se92JKUGvnkmW"/>
    <x v="1"/>
    <x v="1"/>
    <s v="alta-agresiva o baja-ritmica (empate real, 30% vs 29%)"/>
    <x v="2"/>
    <x v="5"/>
    <x v="1"/>
    <n v="0.29399999999999998"/>
    <x v="1"/>
  </r>
  <r>
    <s v="Desireless - Voyage voyage"/>
    <s v="https://open.spotify.com/track/2d8D7uk3tbAThjRkdfrx9c"/>
    <x v="1"/>
    <x v="2"/>
    <s v="ninguna categoria domina (mejor: baja-ritmica con solo 44%)"/>
    <x v="4"/>
    <x v="21"/>
    <x v="2"/>
    <n v="0.22600000000000001"/>
    <x v="0"/>
  </r>
  <r>
    <s v="Engelbert Humperdinck - A Man Without Love"/>
    <s v="https://open.spotify.com/track/0oUBuOO4g9P4lREqfqR5nq"/>
    <x v="0"/>
    <x v="2"/>
    <s v="ninguna categoria domina (mejor: incrementable-decreciente con solo 37%)"/>
    <x v="0"/>
    <x v="22"/>
    <x v="1"/>
    <n v="0.22"/>
    <x v="0"/>
  </r>
  <r>
    <s v="Earth, Wind &amp; Fire, The Emotions - Boogie Wonderland (with The Emotions)"/>
    <s v="https://open.spotify.com/track/6ztstiyZL6FXzh4aG46ZPD"/>
    <x v="3"/>
    <x v="0"/>
    <s v="alta-ritmica (49%)"/>
    <x v="3"/>
    <x v="23"/>
    <x v="0"/>
    <n v="0.312"/>
    <x v="0"/>
  </r>
  <r>
    <s v="Elton John - Rocket Man (I Think It's Going To Be A Long, Long Time)"/>
    <s v="https://open.spotify.com/track/3gdewACMIVMEWVbyb8O9sY"/>
    <x v="1"/>
    <x v="2"/>
    <s v="ninguna categoria domina (mejor: incrementable-decreciente con solo 38%)"/>
    <x v="0"/>
    <x v="24"/>
    <x v="1"/>
    <n v="0.247"/>
    <x v="1"/>
  </r>
  <r>
    <s v="Fleetwood Mac - The Chain - 2004 Remaster"/>
    <s v="https://open.spotify.com/track/5e9TFTbltYBg2xThimr0rU"/>
    <x v="0"/>
    <x v="2"/>
    <s v="ninguna categoria domina (mejor: incrementable-decreciente con solo 41%)"/>
    <x v="0"/>
    <x v="25"/>
    <x v="2"/>
    <n v="0.24399999999999999"/>
    <x v="0"/>
  </r>
  <r>
    <s v="Bonnie Tyler - Total Eclipse of the Heart"/>
    <s v="https://open.spotify.com/track/7wuJGgpTNzbUyn26IOY6rj"/>
    <x v="0"/>
    <x v="0"/>
    <s v="incrementable-decreciente (48%)"/>
    <x v="0"/>
    <x v="26"/>
    <x v="0"/>
    <n v="0.248"/>
    <x v="0"/>
  </r>
  <r>
    <s v="Frankie Valli - Can't Take My Eyes off You"/>
    <s v="https://open.spotify.com/track/0bfvHnWWOeU1U5XeKyVLbW"/>
    <x v="0"/>
    <x v="0"/>
    <s v="incrementable-decreciente (57%)"/>
    <x v="0"/>
    <x v="27"/>
    <x v="2"/>
    <n v="0.158"/>
    <x v="0"/>
  </r>
  <r>
    <s v="Dschinghis Khan - Moskau"/>
    <s v="https://open.spotify.com/track/5t77UGzgSBRDDnaxJvE9R3"/>
    <x v="2"/>
    <x v="0"/>
    <s v="alta-agresiva (56%)"/>
    <x v="2"/>
    <x v="28"/>
    <x v="2"/>
    <n v="0.20599999999999999"/>
    <x v="0"/>
  </r>
  <r>
    <s v="Gilbert O'Sullivan - Clair"/>
    <s v="https://open.spotify.com/track/6yzN1aLjcsP5coOUZPOrJb"/>
    <x v="1"/>
    <x v="2"/>
    <s v="ninguna categoria domina (mejor: baja-ritmica con solo 38%)"/>
    <x v="4"/>
    <x v="29"/>
    <x v="3"/>
    <n v="0.19500000000000001"/>
    <x v="0"/>
  </r>
  <r>
    <s v="Gilbert O'Sullivan - What's In a Kiss - Guitar Version"/>
    <s v="https://open.spotify.com/track/1DUhoEeBRBSzMFumpoLNkV"/>
    <x v="3"/>
    <x v="1"/>
    <s v="alta-ritmica o baja-ritmica (empate real, 26% vs 24%)"/>
    <x v="3"/>
    <x v="30"/>
    <x v="1"/>
    <n v="0.24099999999999999"/>
    <x v="0"/>
  </r>
  <r>
    <s v="Eagles - Hotel California - 2013 Remaster"/>
    <s v="https://open.spotify.com/track/40riOy7x9W7GXjyGp4pjAv"/>
    <x v="1"/>
    <x v="1"/>
    <s v="baja-ritmica o alta-ritmica (empate real, 32% vs 29%)"/>
    <x v="4"/>
    <x v="31"/>
    <x v="2"/>
    <n v="0.28499999999999998"/>
    <x v="0"/>
  </r>
  <r>
    <s v="Frank Sinatra - My Way"/>
    <s v="https://open.spotify.com/track/3spdoTYpuCpmq19tuD0bOe"/>
    <x v="0"/>
    <x v="0"/>
    <s v="baja-contemplativa (53%)"/>
    <x v="1"/>
    <x v="32"/>
    <x v="3"/>
    <n v="0.29399999999999998"/>
    <x v="1"/>
  </r>
  <r>
    <s v="Foreigner - I Want to Know What Love Is - 1999 Remaster"/>
    <s v="https://open.spotify.com/track/1JLn8RhQzHz3qDqsChcmBl"/>
    <x v="0"/>
    <x v="0"/>
    <s v="incrementable-decreciente (58%)"/>
    <x v="0"/>
    <x v="33"/>
    <x v="1"/>
    <n v="0.16200000000000001"/>
    <x v="0"/>
  </r>
  <r>
    <s v="Gilbert O'Sullivan - Alone Again (Naturally)"/>
    <s v="https://open.spotify.com/track/54pvEYFocTlvIAQOfXSjqV"/>
    <x v="4"/>
    <x v="2"/>
    <s v="ninguna categoria domina (mejor: baja-contemplativa con solo 43%)"/>
    <x v="1"/>
    <x v="34"/>
    <x v="1"/>
    <n v="0.26200000000000001"/>
    <x v="0"/>
  </r>
  <r>
    <s v="JAWNY - lalala"/>
    <s v="https://open.spotify.com/track/2pCR7dwwRpeAAnpUr1Ekwz"/>
    <x v="1"/>
    <x v="2"/>
    <s v="ninguna categoria domina (mejor: baja-ritmica con solo 44%)"/>
    <x v="4"/>
    <x v="35"/>
    <x v="2"/>
    <n v="0.29699999999999999"/>
    <x v="0"/>
  </r>
  <r>
    <s v="Harry Styles - As It Was"/>
    <s v="https://open.spotify.com/track/4Dvkj6JhhA12EX05fT7y2e"/>
    <x v="1"/>
    <x v="0"/>
    <s v="baja-ritmica (47%)"/>
    <x v="4"/>
    <x v="36"/>
    <x v="2"/>
    <n v="0.27500000000000002"/>
    <x v="0"/>
  </r>
  <r>
    <s v="George Harrison - My Sweet Lord - 2014 Remaster"/>
    <s v="https://open.spotify.com/track/0KZodeWxqxd88F9wY1cqgs"/>
    <x v="1"/>
    <x v="2"/>
    <s v="ninguna categoria domina (mejor: incrementable-decreciente con solo 37%)"/>
    <x v="0"/>
    <x v="37"/>
    <x v="1"/>
    <n v="0.251"/>
    <x v="1"/>
  </r>
  <r>
    <s v="Jim Croce - Time in a Bottle"/>
    <s v="https://open.spotify.com/track/7uWFUpGuEfmxYeymkV95jn"/>
    <x v="4"/>
    <x v="0"/>
    <s v="baja-contemplativa (63%)"/>
    <x v="1"/>
    <x v="38"/>
    <x v="1"/>
    <n v="0.17299999999999999"/>
    <x v="0"/>
  </r>
  <r>
    <s v="George Michael - Careless Whisper - Remastered"/>
    <s v="https://open.spotify.com/track/5ac3D4hNLW7NFhYFCThXgh"/>
    <x v="0"/>
    <x v="1"/>
    <s v="incrementable-decreciente o alta-ritmica (empate real, 32% vs 28%)"/>
    <x v="0"/>
    <x v="39"/>
    <x v="2"/>
    <n v="0.28399999999999997"/>
    <x v="0"/>
  </r>
  <r>
    <s v="John Travolta, Olivia Newton-John - You're The One That I Want - From â€œGreaseâ€"/>
    <s v="https://open.spotify.com/track/0B9x2BRHqj3Qer7biM3pU3"/>
    <x v="2"/>
    <x v="0"/>
    <s v="alta-agresiva (49%)"/>
    <x v="2"/>
    <x v="40"/>
    <x v="2"/>
    <n v="0.27800000000000002"/>
    <x v="0"/>
  </r>
  <r>
    <s v="JÃ³sean Log - Doma"/>
    <s v="https://open.spotify.com/track/58cLm4PaHNt8DDr9ayZnNz"/>
    <x v="3"/>
    <x v="2"/>
    <s v="ninguna categoria domina (mejor: baja-ritmica con solo 40%)"/>
    <x v="4"/>
    <x v="41"/>
    <x v="2"/>
    <n v="0.192"/>
    <x v="1"/>
  </r>
  <r>
    <s v="Kansas - Dust in the Wind"/>
    <s v="https://open.spotify.com/track/6zeE5tKyr8Nu882DQhhSQI"/>
    <x v="4"/>
    <x v="0"/>
    <s v="baja-contemplativa (72%)"/>
    <x v="1"/>
    <x v="42"/>
    <x v="3"/>
    <n v="0.153"/>
    <x v="0"/>
  </r>
  <r>
    <s v="Louis Armstrong - What A Wonderful World"/>
    <s v="https://open.spotify.com/track/29U7stRjqHU6rMiS8BfaI9"/>
    <x v="4"/>
    <x v="2"/>
    <s v="ninguna categoria domina (mejor: baja-contemplativa con solo 36%)"/>
    <x v="1"/>
    <x v="43"/>
    <x v="1"/>
    <n v="0.184"/>
    <x v="0"/>
  </r>
  <r>
    <s v="Journey - Don't Stop Believin' (2022 Remaster)"/>
    <s v="https://open.spotify.com/track/5RKQ5NdjSh2QzD4MaunT91"/>
    <x v="0"/>
    <x v="0"/>
    <s v="incrementable-decreciente (57%)"/>
    <x v="0"/>
    <x v="44"/>
    <x v="1"/>
    <n v="0.16200000000000001"/>
    <x v="0"/>
  </r>
  <r>
    <s v="Los Retros - Amtrak"/>
    <s v="https://open.spotify.com/track/5F6ekGcdu623mkhTVgk64Z"/>
    <x v="1"/>
    <x v="1"/>
    <s v="baja-contemplativa o baja-ritmica (empate real, 34% vs 33%)"/>
    <x v="1"/>
    <x v="45"/>
    <x v="1"/>
    <n v="0.33300000000000002"/>
    <x v="1"/>
  </r>
  <r>
    <s v="Kitty Kallen, Harry James - It's Been a Long, Long Time (with Harry James &amp; His Orchestra)"/>
    <s v="https://open.spotify.com/track/61sVa3rLHOYqrshahMJj0A"/>
    <x v="1"/>
    <x v="0"/>
    <s v="incrementable-decreciente (46%)"/>
    <x v="0"/>
    <x v="46"/>
    <x v="4"/>
    <n v="0.24199999999999999"/>
    <x v="1"/>
  </r>
  <r>
    <s v="Kylie Minogue - Can't Get You out of My Head"/>
    <s v="https://open.spotify.com/track/3E7ZwUMJFqpsDOJzEkBrQ7"/>
    <x v="1"/>
    <x v="0"/>
    <s v="baja-ritmica (52%)"/>
    <x v="4"/>
    <x v="47"/>
    <x v="3"/>
    <n v="0.157"/>
    <x v="0"/>
  </r>
  <r>
    <s v="Marvin Gaye, Tammi Terrell - Ain't No Mountain High Enough"/>
    <s v="https://open.spotify.com/track/7tqhbajSfrz2F7E1Z75ASX"/>
    <x v="0"/>
    <x v="2"/>
    <s v="ninguna categoria domina (mejor: incrementable-decreciente con solo 36%)"/>
    <x v="0"/>
    <x v="48"/>
    <x v="0"/>
    <n v="0.20699999999999999"/>
    <x v="0"/>
  </r>
  <r>
    <s v="La Bouche - Be My Lover"/>
    <s v="https://open.spotify.com/track/3YB6nCSuFqNiqOvPtAPK9X"/>
    <x v="3"/>
    <x v="0"/>
    <s v="alta-ritmica (53%)"/>
    <x v="3"/>
    <x v="49"/>
    <x v="1"/>
    <n v="0.223"/>
    <x v="0"/>
  </r>
  <r>
    <s v="KISS - I Was Made For Lovin' You"/>
    <s v="https://open.spotify.com/track/07q0QVgO56EorrSGHC48y3"/>
    <x v="2"/>
    <x v="0"/>
    <s v="alta-agresiva (49%)"/>
    <x v="2"/>
    <x v="50"/>
    <x v="2"/>
    <n v="0.33300000000000002"/>
    <x v="0"/>
  </r>
  <r>
    <s v="Lady Gaga - Americano"/>
    <s v="https://open.spotify.com/track/1sRByD63uI8ZJAOSPDczXF"/>
    <x v="2"/>
    <x v="0"/>
    <s v="alta-agresiva (56%)"/>
    <x v="2"/>
    <x v="51"/>
    <x v="1"/>
    <n v="0.16200000000000001"/>
    <x v="0"/>
  </r>
  <r>
    <s v="Marmalade - Reflections Of My Life"/>
    <s v="https://open.spotify.com/track/51vio68HmRHQr6lCWxboM9"/>
    <x v="0"/>
    <x v="0"/>
    <s v="baja-contemplativa (55%)"/>
    <x v="1"/>
    <x v="52"/>
    <x v="3"/>
    <n v="0.30399999999999999"/>
    <x v="1"/>
  </r>
  <r>
    <s v="LP - Lost on You"/>
    <s v="https://open.spotify.com/track/2NttzQ2kuVFFmEa8q4rsbu"/>
    <x v="0"/>
    <x v="1"/>
    <s v="incrementable-decreciente o baja-ritmica (empate real, 37% vs 28%)"/>
    <x v="0"/>
    <x v="22"/>
    <x v="1"/>
    <n v="0.28299999999999997"/>
    <x v="0"/>
  </r>
  <r>
    <s v="Marty Balin - Hearts"/>
    <s v="https://open.spotify.com/track/150LOyOS0ISsZ9IcwPf6iT"/>
    <x v="1"/>
    <x v="1"/>
    <s v="baja-contemplativa o baja-ritmica (empate real, 36% vs 34%)"/>
    <x v="1"/>
    <x v="53"/>
    <x v="1"/>
    <n v="0.33900000000000002"/>
    <x v="1"/>
  </r>
  <r>
    <s v="My Chemical Romance - Teenagers"/>
    <s v="https://open.spotify.com/track/7j31rVgGX9Q2blT92VBEA0"/>
    <x v="2"/>
    <x v="0"/>
    <s v="alta-agresiva (59%)"/>
    <x v="2"/>
    <x v="54"/>
    <x v="3"/>
    <n v="0.156"/>
    <x v="0"/>
  </r>
  <r>
    <s v="Lipps Inc. - Designer Music"/>
    <s v="https://open.spotify.com/track/5aVvVMwfFwu5JSoMFZojDE"/>
    <x v="3"/>
    <x v="0"/>
    <s v="alta-ritmica (58%)"/>
    <x v="3"/>
    <x v="55"/>
    <x v="0"/>
    <n v="0.20100000000000001"/>
    <x v="0"/>
  </r>
  <r>
    <s v="Neil Sedaka - Oh! Carol"/>
    <s v="https://open.spotify.com/track/5zvOXJrzzUlvXwyuwZ0toZ"/>
    <x v="3"/>
    <x v="2"/>
    <s v="ninguna categoria domina (mejor: baja-contemplativa con solo 41%)"/>
    <x v="1"/>
    <x v="56"/>
    <x v="1"/>
    <n v="0.21"/>
    <x v="1"/>
  </r>
  <r>
    <s v="Modern Talking - Cheri Cheri Lady"/>
    <s v="https://open.spotify.com/track/2aEuA8PSqLa17Y4hKPj5rr"/>
    <x v="1"/>
    <x v="0"/>
    <s v="baja-ritmica (54%)"/>
    <x v="4"/>
    <x v="15"/>
    <x v="2"/>
    <n v="0.21"/>
    <x v="0"/>
  </r>
  <r>
    <s v="Muse - Supermassive Black Hole"/>
    <s v="https://open.spotify.com/track/3lPr8ghNDBLc2uZovNyLs9"/>
    <x v="3"/>
    <x v="2"/>
    <s v="ninguna categoria domina (mejor: alta-ritmica con solo 39%)"/>
    <x v="3"/>
    <x v="57"/>
    <x v="1"/>
    <n v="0.27200000000000002"/>
    <x v="0"/>
  </r>
  <r>
    <s v="Michael Jackson - Beat It"/>
    <s v="https://open.spotify.com/track/3BovdzfaX4jb5KFQwoPfAw"/>
    <x v="3"/>
    <x v="1"/>
    <s v="alta-agresiva o alta-ritmica (empate real, 44% vs 34%)"/>
    <x v="2"/>
    <x v="58"/>
    <x v="2"/>
    <n v="0.34399999999999997"/>
    <x v="1"/>
  </r>
  <r>
    <s v="Michael Sembello - Maniac"/>
    <s v="https://open.spotify.com/track/0QKfiqpEU4h9ycPSzIFwYe"/>
    <x v="1"/>
    <x v="2"/>
    <s v="ninguna categoria domina (mejor: baja-ritmica con solo 45%)"/>
    <x v="4"/>
    <x v="59"/>
    <x v="2"/>
    <n v="0.26300000000000001"/>
    <x v="0"/>
  </r>
  <r>
    <s v="MÃ¥neskin - Beggin'"/>
    <s v="https://open.spotify.com/track/3Wrjm47oTz2sjIgck11l5e"/>
    <x v="2"/>
    <x v="0"/>
    <s v="alta-agresiva (47%)"/>
    <x v="2"/>
    <x v="60"/>
    <x v="2"/>
    <n v="0.23799999999999999"/>
    <x v="0"/>
  </r>
  <r>
    <s v="Nazareth - Love Hurts - Single Edit"/>
    <s v="https://open.spotify.com/track/6MXUZ4VRQ41qTPWKgvHMCK"/>
    <x v="3"/>
    <x v="1"/>
    <s v="incrementable-decreciente o baja-contemplativa (empate real, 41% vs 31%)"/>
    <x v="0"/>
    <x v="61"/>
    <x v="4"/>
    <n v="0.312"/>
    <x v="1"/>
  </r>
  <r>
    <s v="Queen - Crazy Little Thing Called Love - Remastered 2011"/>
    <s v="https://open.spotify.com/track/6xdLJrVj4vIXwhuG8TMopk"/>
    <x v="1"/>
    <x v="1"/>
    <s v="alta-ritmica o baja-ritmica (empate real, 30% vs 24%)"/>
    <x v="3"/>
    <x v="62"/>
    <x v="1"/>
    <n v="0.24099999999999999"/>
    <x v="1"/>
  </r>
  <r>
    <s v="Pink Floyd - Another Brick in the Wall, Pt. 2"/>
    <s v="https://open.spotify.com/track/4gMgiXfqyzZLMhsksGmbQV"/>
    <x v="3"/>
    <x v="1"/>
    <s v="alta-ritmica o incrementable-decreciente (empate real, 33% vs 24%)"/>
    <x v="3"/>
    <x v="17"/>
    <x v="3"/>
    <n v="0.23599999999999999"/>
    <x v="0"/>
  </r>
  <r>
    <s v="Led Zeppelin - Stairway to Heaven - Remaster"/>
    <s v="https://open.spotify.com/track/5CQ30WqJwcep0pYcV4AMNc"/>
    <x v="0"/>
    <x v="0"/>
    <s v="incrementable-decreciente (48%)"/>
    <x v="0"/>
    <x v="6"/>
    <x v="4"/>
    <n v="0.28100000000000003"/>
    <x v="0"/>
  </r>
  <r>
    <s v="OneRepublic - Counting Stars"/>
    <s v="https://open.spotify.com/track/2tpWsVSb9UEmDRxAl1zhX1"/>
    <x v="0"/>
    <x v="1"/>
    <s v="incrementable-decreciente o baja-ritmica (empate real, 31% vs 27%)"/>
    <x v="0"/>
    <x v="63"/>
    <x v="1"/>
    <n v="0.27200000000000002"/>
    <x v="0"/>
  </r>
  <r>
    <s v="Ritchie Valens - La Bamba - Single Version"/>
    <s v="https://open.spotify.com/track/2aEeghgUcnu75tzcolFMfs"/>
    <x v="3"/>
    <x v="2"/>
    <s v="ninguna categoria domina (mejor: alta-ritmica con solo 43%)"/>
    <x v="3"/>
    <x v="64"/>
    <x v="1"/>
    <n v="0.223"/>
    <x v="0"/>
  </r>
  <r>
    <s v="Queen - Don't Stop Me Now - ...Revisited"/>
    <s v="https://open.spotify.com/track/3INsYP1Y8GG4qJvBsKCdXC"/>
    <x v="2"/>
    <x v="0"/>
    <s v="alta-agresiva (60%)"/>
    <x v="2"/>
    <x v="65"/>
    <x v="2"/>
    <n v="0.17299999999999999"/>
    <x v="0"/>
  </r>
  <r>
    <s v="Queen - Bohemian Rhapsody - Remastered 2011"/>
    <s v="https://open.spotify.com/track/4u7EnebtmKWzUH433cf5Qv"/>
    <x v="0"/>
    <x v="0"/>
    <s v="incrementable-decreciente (60%)"/>
    <x v="0"/>
    <x v="66"/>
    <x v="1"/>
    <n v="0.14499999999999999"/>
    <x v="0"/>
  </r>
  <r>
    <s v="Rick James - Super Freak"/>
    <s v="https://open.spotify.com/track/2dCmGcEOQrMQhMMS8Vj7Ca"/>
    <x v="3"/>
    <x v="0"/>
    <s v="alta-ritmica (50%)"/>
    <x v="3"/>
    <x v="67"/>
    <x v="0"/>
    <n v="0.307"/>
    <x v="0"/>
  </r>
  <r>
    <s v="Radiohead - Creep"/>
    <s v="https://open.spotify.com/track/70LcF31zb1H0PyJoS1Sx1r"/>
    <x v="0"/>
    <x v="1"/>
    <s v="incrementable-decreciente o alta-agresiva (empate real, 36% vs 25%)"/>
    <x v="0"/>
    <x v="48"/>
    <x v="0"/>
    <n v="0.251"/>
    <x v="0"/>
  </r>
  <r>
    <s v="Radiohead - No Surprises"/>
    <s v="https://open.spotify.com/track/10nyNJ6zNy2YVYLrcwLccB"/>
    <x v="4"/>
    <x v="0"/>
    <s v="baja-contemplativa (61%)"/>
    <x v="1"/>
    <x v="68"/>
    <x v="3"/>
    <n v="0.23499999999999999"/>
    <x v="0"/>
  </r>
  <r>
    <s v="Roy Orbison - Oh, Pretty Woman"/>
    <s v="https://open.spotify.com/track/48i055G1OT5KxGGftwFxWy"/>
    <x v="3"/>
    <x v="1"/>
    <s v="baja-ritmica o alta-ritmica (empate real, 32% vs 25%)"/>
    <x v="4"/>
    <x v="69"/>
    <x v="2"/>
    <n v="0.251"/>
    <x v="1"/>
  </r>
  <r>
    <s v="Queen - Somebody To Love - Remastered 2011"/>
    <s v="https://open.spotify.com/track/4rDbp1vnvEhieiccprPMdI"/>
    <x v="0"/>
    <x v="2"/>
    <s v="ninguna categoria domina (mejor: incrementable-decreciente con solo 45%)"/>
    <x v="0"/>
    <x v="70"/>
    <x v="0"/>
    <n v="0.20699999999999999"/>
    <x v="0"/>
  </r>
  <r>
    <s v="Radiohead - Exit Music (For A Film)"/>
    <s v="https://open.spotify.com/track/0z1o5L7HJx562xZSATcIpY"/>
    <x v="0"/>
    <x v="0"/>
    <s v="incrementable-decreciente (50%)"/>
    <x v="0"/>
    <x v="67"/>
    <x v="4"/>
    <n v="0.245"/>
    <x v="0"/>
  </r>
  <r>
    <s v="Santo &amp; Johnny - Sleep Walk"/>
    <s v="https://open.spotify.com/track/0yK8sWD6cfrc7pGfaPIcZH"/>
    <x v="1"/>
    <x v="0"/>
    <s v="baja-contemplativa (56%)"/>
    <x v="1"/>
    <x v="71"/>
    <x v="1"/>
    <n v="0.25900000000000001"/>
    <x v="1"/>
  </r>
  <r>
    <s v="Radiohead - Street Spirit (Fade Out)"/>
    <s v="https://open.spotify.com/track/2QwObYJWyJTiozvs0RI7CF"/>
    <x v="4"/>
    <x v="0"/>
    <s v="baja-contemplativa (59%)"/>
    <x v="1"/>
    <x v="12"/>
    <x v="3"/>
    <n v="0.153"/>
    <x v="0"/>
  </r>
  <r>
    <s v="Sia - Snowman"/>
    <s v="https://open.spotify.com/track/7uoFMmxln0GPXQ0AcCBXRq"/>
    <x v="1"/>
    <x v="1"/>
    <s v="baja-ritmica o baja-contemplativa (empate real, 34% vs 25%)"/>
    <x v="4"/>
    <x v="72"/>
    <x v="4"/>
    <n v="0.25"/>
    <x v="0"/>
  </r>
  <r>
    <s v="Surf Curse - Freaks"/>
    <s v="https://open.spotify.com/track/7EkWXAI1wn8Ii883ecd9xr"/>
    <x v="3"/>
    <x v="1"/>
    <s v="alta-agresiva o alta-ritmica (empate real, 34% vs 26%)"/>
    <x v="2"/>
    <x v="45"/>
    <x v="2"/>
    <n v="0.25800000000000001"/>
    <x v="1"/>
  </r>
  <r>
    <s v="Shawn Mendes - There's Nothing Holdin' Me Back"/>
    <s v="https://open.spotify.com/track/7JJmb5XwzOO8jgpou264Ml"/>
    <x v="0"/>
    <x v="1"/>
    <s v="alta-ritmica o baja-ritmica (empate real, 32% vs 25%)"/>
    <x v="3"/>
    <x v="39"/>
    <x v="1"/>
    <n v="0.252"/>
    <x v="1"/>
  </r>
  <r>
    <s v="Roberta Flack - Killing Me Softly With His Song"/>
    <s v="https://open.spotify.com/track/3gsCAGsWr6pUm1Vy7CPPob"/>
    <x v="1"/>
    <x v="1"/>
    <s v="baja-ritmica o baja-contemplativa (empate real, 36% vs 28%)"/>
    <x v="4"/>
    <x v="73"/>
    <x v="4"/>
    <n v="0.28000000000000003"/>
    <x v="0"/>
  </r>
  <r>
    <s v="Tally Hall - Hidden In the Sand"/>
    <s v="https://open.spotify.com/track/0RjG5JmdOWXAR68dGlKBA5"/>
    <x v="4"/>
    <x v="0"/>
    <s v="baja-contemplativa (63%)"/>
    <x v="1"/>
    <x v="74"/>
    <x v="1"/>
    <n v="0.13300000000000001"/>
    <x v="0"/>
  </r>
  <r>
    <s v="Rupert Holmes - Escape (The Pina Colada Song)"/>
    <s v="https://open.spotify.com/track/5IMtdHjJ1OtkxbGe4zfUxQ"/>
    <x v="1"/>
    <x v="1"/>
    <s v="alta-ritmica o alta-agresiva (empate real, 40% vs 31%)"/>
    <x v="3"/>
    <x v="75"/>
    <x v="0"/>
    <n v="0.308"/>
    <x v="1"/>
  </r>
  <r>
    <s v="Rod Stewart - Young Turks"/>
    <s v="https://open.spotify.com/track/6sBA8b9bT8Z8G8TkVDvNTK"/>
    <x v="3"/>
    <x v="0"/>
    <s v="alta-ritmica (52%)"/>
    <x v="3"/>
    <x v="76"/>
    <x v="1"/>
    <n v="0.19800000000000001"/>
    <x v="0"/>
  </r>
  <r>
    <s v="System Of A Down - Lonely Day"/>
    <s v="https://open.spotify.com/track/1VNWaY3uNfoeWqb5U8x2QX"/>
    <x v="0"/>
    <x v="0"/>
    <s v="incrementable-decreciente (60%)"/>
    <x v="0"/>
    <x v="77"/>
    <x v="2"/>
    <n v="0.129"/>
    <x v="0"/>
  </r>
  <r>
    <s v="System Of A Down - Chop Suey!"/>
    <s v="https://open.spotify.com/track/2DlHlPMa4M17kufBvI2lEN"/>
    <x v="2"/>
    <x v="0"/>
    <s v="alta-agresiva (57%)"/>
    <x v="2"/>
    <x v="44"/>
    <x v="3"/>
    <n v="0.13600000000000001"/>
    <x v="0"/>
  </r>
  <r>
    <s v="Tally Hall - The Bidding"/>
    <s v="https://open.spotify.com/track/0HBrtXJohbIW4IhPZ50GmH"/>
    <x v="0"/>
    <x v="0"/>
    <s v="incrementable-decreciente (47%)"/>
    <x v="0"/>
    <x v="78"/>
    <x v="2"/>
    <n v="0.189"/>
    <x v="0"/>
  </r>
  <r>
    <s v="The Beatles - Can't Buy Me Love - Remastered 2009"/>
    <s v="https://open.spotify.com/track/3SdingSsFcZDZAyvcJbgAw"/>
    <x v="3"/>
    <x v="1"/>
    <s v="alta-agresiva o alta-ritmica (empate real, 27% vs 24%)"/>
    <x v="2"/>
    <x v="79"/>
    <x v="2"/>
    <n v="0.23699999999999999"/>
    <x v="1"/>
  </r>
  <r>
    <s v="The Beach Boys - I Get Around (Mono)"/>
    <s v="https://open.spotify.com/track/3v9xlH6BpmRbqL7hgNJhfT"/>
    <x v="3"/>
    <x v="1"/>
    <s v="incrementable-decreciente o alta-ritmica (empate real, 28% vs 24%)"/>
    <x v="0"/>
    <x v="80"/>
    <x v="2"/>
    <n v="0.23699999999999999"/>
    <x v="1"/>
  </r>
  <r>
    <s v="The Beatles - And I Love Her - Remastered 2009"/>
    <s v="https://open.spotify.com/track/65vdMBskhx3akkG9vQlSH1"/>
    <x v="4"/>
    <x v="0"/>
    <s v="baja-contemplativa (53%)"/>
    <x v="1"/>
    <x v="81"/>
    <x v="3"/>
    <n v="0.17499999999999999"/>
    <x v="0"/>
  </r>
  <r>
    <s v="The Beatles - Eleanor Rigby - Remastered 2009"/>
    <s v="https://open.spotify.com/track/5GjPQ0eI7AgmOnADn1EO6Q"/>
    <x v="1"/>
    <x v="2"/>
    <s v="ninguna categoria domina (mejor: baja-contemplativa con solo 44%)"/>
    <x v="1"/>
    <x v="82"/>
    <x v="1"/>
    <n v="0.307"/>
    <x v="1"/>
  </r>
  <r>
    <s v="The Beatles - Yesterday - Remastered 2009"/>
    <s v="https://open.spotify.com/track/3BQHpFgAp4l80e1XslIjNI"/>
    <x v="4"/>
    <x v="0"/>
    <s v="baja-contemplativa (78%)"/>
    <x v="1"/>
    <x v="83"/>
    <x v="1"/>
    <n v="8.1000000000000003E-2"/>
    <x v="0"/>
  </r>
  <r>
    <s v="Tears For Fears - Everybody Wants To Rule The World"/>
    <s v="https://open.spotify.com/track/4RvWPyQ5RL0ao9LPZeSouE"/>
    <x v="1"/>
    <x v="2"/>
    <s v="ninguna categoria domina (mejor: baja-ritmica con solo 45%)"/>
    <x v="4"/>
    <x v="84"/>
    <x v="2"/>
    <n v="0.23799999999999999"/>
    <x v="0"/>
  </r>
  <r>
    <s v="The Beatles - Michelle - Remastered 2009"/>
    <s v="https://open.spotify.com/track/5By7Pzgl6TMuVJG168VWzS"/>
    <x v="4"/>
    <x v="0"/>
    <s v="baja-contemplativa (62%)"/>
    <x v="1"/>
    <x v="85"/>
    <x v="1"/>
    <n v="0.17499999999999999"/>
    <x v="0"/>
  </r>
  <r>
    <s v="The Beatles - Here Comes The Sun - Remastered 2009"/>
    <s v="https://open.spotify.com/track/6dGnYIeXmHdcikdzNNDMm2"/>
    <x v="1"/>
    <x v="2"/>
    <s v="ninguna categoria domina (mejor: baja-ritmica con solo 45%)"/>
    <x v="4"/>
    <x v="84"/>
    <x v="2"/>
    <n v="0.18099999999999999"/>
    <x v="0"/>
  </r>
  <r>
    <s v="The Animals - House of the Rising Sun"/>
    <s v="https://open.spotify.com/track/4mn2kNTqiGLwaUR8JdhJ1l"/>
    <x v="0"/>
    <x v="0"/>
    <s v="incrementable-decreciente (47%)"/>
    <x v="0"/>
    <x v="36"/>
    <x v="1"/>
    <n v="0.183"/>
    <x v="0"/>
  </r>
  <r>
    <s v="The Cure - Boys Don't Cry"/>
    <s v="https://open.spotify.com/track/1QFh8OH1e78dGd3VyJZCAC"/>
    <x v="3"/>
    <x v="2"/>
    <s v="ninguna categoria domina (mejor: alta-ritmica con solo 43%)"/>
    <x v="3"/>
    <x v="86"/>
    <x v="1"/>
    <n v="0.221"/>
    <x v="0"/>
  </r>
  <r>
    <s v="The Clash - Should I Stay or Should I Go - Remastered"/>
    <s v="https://open.spotify.com/track/39shmbIHICJ2Wxnk1fPSdz"/>
    <x v="3"/>
    <x v="0"/>
    <s v="alta-ritmica (56%)"/>
    <x v="3"/>
    <x v="87"/>
    <x v="0"/>
    <n v="0.219"/>
    <x v="0"/>
  </r>
  <r>
    <s v="The Beatles - Come Together - Remastered 2009"/>
    <s v="https://open.spotify.com/track/2EqlS6tkEnglzr7tkKAAYD"/>
    <x v="1"/>
    <x v="1"/>
    <s v="baja-ritmica o baja-contemplativa (empate real, 40% vs 32%)"/>
    <x v="4"/>
    <x v="88"/>
    <x v="4"/>
    <n v="0.316"/>
    <x v="0"/>
  </r>
  <r>
    <s v="The Monkees - I'm a Believer - 2006 Remaster"/>
    <s v="https://open.spotify.com/track/3G7tRC24Uh09Hmp1KZ7LQ2"/>
    <x v="3"/>
    <x v="1"/>
    <s v="alta-ritmica o alta-agresiva (empate real, 34% vs 25%)"/>
    <x v="3"/>
    <x v="89"/>
    <x v="0"/>
    <n v="0.252"/>
    <x v="0"/>
  </r>
  <r>
    <s v="The Hollies - Long Cool Woman (In a Black Dress) - 1999 Remaster"/>
    <s v="https://open.spotify.com/track/1J5XEPamp7iQaCU0aFuMnd"/>
    <x v="3"/>
    <x v="2"/>
    <s v="ninguna categoria domina (mejor: alta-ritmica con solo 37%)"/>
    <x v="3"/>
    <x v="90"/>
    <x v="0"/>
    <n v="0.23899999999999999"/>
    <x v="0"/>
  </r>
  <r>
    <s v="The Drums - I Don't Know How To Love"/>
    <s v="https://open.spotify.com/track/2YvWonOJesvP0yu9IFJY7S"/>
    <x v="1"/>
    <x v="2"/>
    <s v="ninguna categoria domina (mejor: baja-ritmica con solo 42%)"/>
    <x v="4"/>
    <x v="91"/>
    <x v="0"/>
    <n v="0.16700000000000001"/>
    <x v="0"/>
  </r>
  <r>
    <s v="The Ronettes - Be My Baby"/>
    <s v="https://open.spotify.com/track/1WN4uNclrDuczTO3bCr8s1"/>
    <x v="1"/>
    <x v="1"/>
    <s v="baja-ritmica o alta-agresiva (empate real, 27% vs 26%)"/>
    <x v="4"/>
    <x v="92"/>
    <x v="0"/>
    <n v="0.25800000000000001"/>
    <x v="0"/>
  </r>
  <r>
    <s v="The Righteous Brothers - Unchained Melody"/>
    <s v="https://open.spotify.com/track/2qhASBzpbFhPRtrnZ5lLnz"/>
    <x v="0"/>
    <x v="0"/>
    <s v="baja-contemplativa (53%)"/>
    <x v="1"/>
    <x v="81"/>
    <x v="3"/>
    <n v="0.22600000000000001"/>
    <x v="1"/>
  </r>
  <r>
    <s v="The Human League - Don't You Want Me"/>
    <s v="https://open.spotify.com/track/3L7RtEcu1Hw3OXrpnthngx"/>
    <x v="3"/>
    <x v="0"/>
    <s v="alta-ritmica (53%)"/>
    <x v="3"/>
    <x v="93"/>
    <x v="0"/>
    <n v="0.20799999999999999"/>
    <x v="0"/>
  </r>
  <r>
    <s v="The Rolling Stones - (I Can't Get No) Satisfaction - Mono"/>
    <s v="https://open.spotify.com/track/2PzU4IB8Dr6mxV3lHuaG34"/>
    <x v="3"/>
    <x v="1"/>
    <s v="incrementable-decreciente o alta-ritmica (empate real, 28% vs 28%)"/>
    <x v="0"/>
    <x v="94"/>
    <x v="2"/>
    <n v="0.28499999999999998"/>
    <x v="1"/>
  </r>
  <r>
    <s v="The Rolling Stones - Paint It, Black"/>
    <s v="https://open.spotify.com/track/63T7DJ1AFDD6Bn8VzG6JE8"/>
    <x v="3"/>
    <x v="1"/>
    <s v="alta-ritmica o baja-ritmica (empate real, 28% vs 26%)"/>
    <x v="3"/>
    <x v="95"/>
    <x v="1"/>
    <n v="0.25600000000000001"/>
    <x v="0"/>
  </r>
  <r>
    <s v="Tina Charles - I Love to Love"/>
    <s v="https://open.spotify.com/track/5jWI1xNxABzDRFTnD2yp8L"/>
    <x v="3"/>
    <x v="0"/>
    <s v="alta-ritmica (52%)"/>
    <x v="3"/>
    <x v="96"/>
    <x v="0"/>
    <n v="0.22700000000000001"/>
    <x v="0"/>
  </r>
  <r>
    <s v="The Smiths - There Is a Light That Never Goes Out - 2011 Remaster"/>
    <s v="https://open.spotify.com/track/0WQiDwKJclirSYG9v5tayI"/>
    <x v="1"/>
    <x v="2"/>
    <s v="ninguna categoria domina (mejor: baja-ritmica con solo 39%)"/>
    <x v="4"/>
    <x v="97"/>
    <x v="0"/>
    <n v="0.23599999999999999"/>
    <x v="0"/>
  </r>
  <r>
    <s v="Vundabar - Alien Blues"/>
    <s v="https://open.spotify.com/track/11iIikXxC6NP0Ma8vMD27x"/>
    <x v="2"/>
    <x v="1"/>
    <s v="alta-agresiva o baja-contemplativa (empate real, 29% vs 21%)"/>
    <x v="2"/>
    <x v="98"/>
    <x v="4"/>
    <n v="0.21"/>
    <x v="0"/>
  </r>
  <r>
    <s v="The White Stripes - Seven Nation Army"/>
    <s v="https://open.spotify.com/track/3dPQuX8Gs42Y7b454ybpMR"/>
    <x v="0"/>
    <x v="2"/>
    <s v="ninguna categoria domina (mejor: incrementable-decreciente con solo 37%)"/>
    <x v="0"/>
    <x v="99"/>
    <x v="1"/>
    <n v="0.246"/>
    <x v="0"/>
  </r>
  <r>
    <s v="Twenty One Pilots - Ride"/>
    <s v="https://open.spotify.com/track/2Z8WuEywRWYTKe1NybPQEW"/>
    <x v="0"/>
    <x v="1"/>
    <s v="incrementable-decreciente o alta-ritmica (empate real, 27% vs 27%)"/>
    <x v="0"/>
    <x v="100"/>
    <x v="2"/>
    <n v="0.26700000000000002"/>
    <x v="0"/>
  </r>
  <r>
    <s v="Twenty One Pilots - Stressed Out"/>
    <s v="https://open.spotify.com/track/3CRDbSIZ4r5MsZ0YwxuEkn"/>
    <x v="3"/>
    <x v="2"/>
    <s v="ninguna categoria domina (mejor: alta-ritmica con solo 38%)"/>
    <x v="3"/>
    <x v="29"/>
    <x v="1"/>
    <n v="0.248"/>
    <x v="0"/>
  </r>
  <r>
    <s v="The Strokes - The Adults Are Talking"/>
    <s v="https://open.spotify.com/track/5ruzrDWcT0vuJIOMW7gMnW"/>
    <x v="1"/>
    <x v="0"/>
    <s v="baja-ritmica (55%)"/>
    <x v="4"/>
    <x v="101"/>
    <x v="2"/>
    <n v="0.184"/>
    <x v="0"/>
  </r>
  <r>
    <s v="The Verve - Bitter Sweet Symphony - Remastered 2016"/>
    <s v="https://open.spotify.com/track/57iDDD9N9tTWe75x6qhStw"/>
    <x v="3"/>
    <x v="0"/>
    <s v="incrementable-decreciente (58%)"/>
    <x v="0"/>
    <x v="102"/>
    <x v="2"/>
    <n v="0.1680000000000000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The Rolling Stones - (I Can't Get No) Satisfaction - Mono"/>
    <s v="rock-and-roll"/>
    <x v="0"/>
    <s v="https://open.spotify.com/track/2PzU4IB8Dr6mxV3lHuaG34"/>
    <x v="0"/>
    <s v="ambigua"/>
    <s v="incrementable-decreciente o alta-ritmica (empate real, 28% vs 28%)"/>
    <x v="0"/>
    <n v="0.28499999999999998"/>
    <s v="alta-ritmica"/>
    <n v="0.28499999999999998"/>
    <n v="0"/>
    <x v="0"/>
    <b v="1"/>
  </r>
  <r>
    <s v="Twenty One Pilots - Ride"/>
    <s v="alternative-rock"/>
    <x v="0"/>
    <s v="https://open.spotify.com/track/2Z8WuEywRWYTKe1NybPQEW"/>
    <x v="1"/>
    <s v="ambigua"/>
    <s v="incrementable-decreciente o alta-ritmica (empate real, 27% vs 27%)"/>
    <x v="0"/>
    <n v="0.26900000000000002"/>
    <s v="alta-ritmica"/>
    <n v="0.26700000000000002"/>
    <n v="2.0000000000000018E-3"/>
    <x v="1"/>
    <b v="0"/>
  </r>
  <r>
    <s v="The Ronettes - Be My Baby"/>
    <s v="pop-rock"/>
    <x v="0"/>
    <s v="https://open.spotify.com/track/1WN4uNclrDuczTO3bCr8s1"/>
    <x v="2"/>
    <s v="ambigua"/>
    <s v="baja-ritmica o alta-agresiva (empate real, 27% vs 26%)"/>
    <x v="1"/>
    <n v="0.26500000000000001"/>
    <s v="alta-agresiva"/>
    <n v="0.25800000000000001"/>
    <n v="7.0000000000000062E-3"/>
    <x v="1"/>
    <b v="0"/>
  </r>
  <r>
    <s v="Donna Summer - On The Radio"/>
    <s v="disco"/>
    <x v="1"/>
    <s v="https://open.spotify.com/track/41v23mPw4Se92JKUGvnkmW"/>
    <x v="2"/>
    <s v="ambigua"/>
    <s v="alta-agresiva o baja-ritmica (empate real, 30% vs 29%)"/>
    <x v="2"/>
    <n v="0.30399999999999999"/>
    <s v="baja-ritmica"/>
    <n v="0.29399999999999998"/>
    <n v="1.0000000000000009E-2"/>
    <x v="0"/>
    <b v="1"/>
  </r>
  <r>
    <s v="Los Retros - Amtrak"/>
    <s v="indie-pop"/>
    <x v="1"/>
    <s v="https://open.spotify.com/track/5F6ekGcdu623mkhTVgk64Z"/>
    <x v="2"/>
    <s v="ambigua"/>
    <s v="baja-contemplativa o baja-ritmica (empate real, 34% vs 33%)"/>
    <x v="3"/>
    <n v="0.34399999999999997"/>
    <s v="baja-ritmica"/>
    <n v="0.33300000000000002"/>
    <n v="1.0999999999999954E-2"/>
    <x v="0"/>
    <b v="1"/>
  </r>
  <r>
    <s v="Gilbert O'Sullivan - What's In a Kiss - Guitar Version"/>
    <s v="soft-rock"/>
    <x v="0"/>
    <s v="https://open.spotify.com/track/1DUhoEeBRBSzMFumpoLNkV"/>
    <x v="0"/>
    <s v="ambigua"/>
    <s v="alta-ritmica o baja-ritmica (empate real, 26% vs 24%)"/>
    <x v="4"/>
    <n v="0.25900000000000001"/>
    <s v="baja-ritmica"/>
    <n v="0.24099999999999999"/>
    <n v="1.8000000000000016E-2"/>
    <x v="1"/>
    <b v="0"/>
  </r>
  <r>
    <s v="Marty Balin - Hearts"/>
    <s v="soft-rock"/>
    <x v="0"/>
    <s v="https://open.spotify.com/track/150LOyOS0ISsZ9IcwPf6iT"/>
    <x v="2"/>
    <s v="ambigua"/>
    <s v="baja-contemplativa o baja-ritmica (empate real, 36% vs 34%)"/>
    <x v="3"/>
    <n v="0.36199999999999999"/>
    <s v="baja-ritmica"/>
    <n v="0.33900000000000002"/>
    <n v="2.2999999999999965E-2"/>
    <x v="0"/>
    <b v="1"/>
  </r>
  <r>
    <s v="The Rolling Stones - Paint It, Black"/>
    <s v="psychedelic-rock"/>
    <x v="0"/>
    <s v="https://open.spotify.com/track/63T7DJ1AFDD6Bn8VzG6JE8"/>
    <x v="0"/>
    <s v="ambigua"/>
    <s v="alta-ritmica o baja-ritmica (empate real, 28% vs 26%)"/>
    <x v="4"/>
    <n v="0.28299999999999997"/>
    <s v="baja-ritmica"/>
    <n v="0.25600000000000001"/>
    <n v="2.6999999999999968E-2"/>
    <x v="1"/>
    <b v="0"/>
  </r>
  <r>
    <s v="Billie Eilish - bad guy"/>
    <s v="alternative-pop"/>
    <x v="1"/>
    <s v="https://open.spotify.com/track/2Fxmhks0bxGSBdJ92vM42m"/>
    <x v="2"/>
    <s v="ambigua"/>
    <s v="baja-contemplativa o baja-ritmica (empate real, 33% vs 30%)"/>
    <x v="3"/>
    <n v="0.33200000000000002"/>
    <s v="baja-ritmica"/>
    <n v="0.30199999999999999"/>
    <n v="3.0000000000000027E-2"/>
    <x v="0"/>
    <b v="1"/>
  </r>
  <r>
    <s v="Eagles - Hotel California - 2013 Remaster"/>
    <s v="classic-rock"/>
    <x v="0"/>
    <s v="https://open.spotify.com/track/40riOy7x9W7GXjyGp4pjAv"/>
    <x v="2"/>
    <s v="ambigua"/>
    <s v="baja-ritmica o alta-ritmica (empate real, 32% vs 29%)"/>
    <x v="1"/>
    <n v="0.31900000000000001"/>
    <s v="alta-ritmica"/>
    <n v="0.28499999999999998"/>
    <n v="3.400000000000003E-2"/>
    <x v="1"/>
    <b v="0"/>
  </r>
  <r>
    <s v="OneRepublic - Counting Stars"/>
    <s v="pop-rock"/>
    <x v="0"/>
    <s v="https://open.spotify.com/track/2tpWsVSb9UEmDRxAl1zhX1"/>
    <x v="1"/>
    <s v="ambigua"/>
    <s v="incrementable-decreciente o baja-ritmica (empate real, 31% vs 27%)"/>
    <x v="0"/>
    <n v="0.307"/>
    <s v="baja-ritmica"/>
    <n v="0.27200000000000002"/>
    <n v="3.4999999999999976E-2"/>
    <x v="1"/>
    <b v="0"/>
  </r>
  <r>
    <s v="The Beatles - Can't Buy Me Love - Remastered 2009"/>
    <s v="rock-and-roll"/>
    <x v="0"/>
    <s v="https://open.spotify.com/track/3SdingSsFcZDZAyvcJbgAw"/>
    <x v="0"/>
    <s v="ambigua"/>
    <s v="alta-agresiva o alta-ritmica (empate real, 27% vs 24%)"/>
    <x v="2"/>
    <n v="0.27300000000000002"/>
    <s v="alta-ritmica"/>
    <n v="0.23699999999999999"/>
    <n v="3.6000000000000032E-2"/>
    <x v="0"/>
    <b v="0"/>
  </r>
  <r>
    <s v="George Michael - Careless Whisper - Remastered"/>
    <s v="blue-eyed-soul"/>
    <x v="1"/>
    <s v="https://open.spotify.com/track/5ac3D4hNLW7NFhYFCThXgh"/>
    <x v="1"/>
    <s v="ambigua"/>
    <s v="incrementable-decreciente o alta-ritmica (empate real, 32% vs 28%)"/>
    <x v="0"/>
    <n v="0.32100000000000001"/>
    <s v="alta-ritmica"/>
    <n v="0.28399999999999997"/>
    <n v="3.7000000000000033E-2"/>
    <x v="1"/>
    <b v="0"/>
  </r>
  <r>
    <s v="Demis Roussos - Forever and Ever"/>
    <s v="soft-rock"/>
    <x v="0"/>
    <s v="https://open.spotify.com/track/72MJeNXJ3LKfa73U4WrEtA"/>
    <x v="2"/>
    <s v="ambigua"/>
    <s v="incrementable-decreciente o baja-ritmica (empate real, 33% vs 29%)"/>
    <x v="0"/>
    <n v="0.32600000000000001"/>
    <s v="baja-ritmica"/>
    <n v="0.28799999999999998"/>
    <n v="3.8000000000000034E-2"/>
    <x v="0"/>
    <b v="1"/>
  </r>
  <r>
    <s v="The Beach Boys - I Get Around (Mono)"/>
    <s v="surf-rock"/>
    <x v="0"/>
    <s v="https://open.spotify.com/track/3v9xlH6BpmRbqL7hgNJhfT"/>
    <x v="0"/>
    <s v="ambigua"/>
    <s v="incrementable-decreciente o alta-ritmica (empate real, 28% vs 24%)"/>
    <x v="0"/>
    <n v="0.28000000000000003"/>
    <s v="alta-ritmica"/>
    <n v="0.23699999999999999"/>
    <n v="4.3000000000000038E-2"/>
    <x v="0"/>
    <b v="0"/>
  </r>
  <r>
    <s v="Queen - Crazy Little Thing Called Love - Remastered 2011"/>
    <s v="rock-and-roll"/>
    <x v="0"/>
    <s v="https://open.spotify.com/track/6xdLJrVj4vIXwhuG8TMopk"/>
    <x v="2"/>
    <s v="ambigua"/>
    <s v="alta-ritmica o baja-ritmica (empate real, 30% vs 24%)"/>
    <x v="4"/>
    <n v="0.29699999999999999"/>
    <s v="baja-ritmica"/>
    <n v="0.24099999999999999"/>
    <n v="5.5999999999999994E-2"/>
    <x v="0"/>
    <b v="1"/>
  </r>
  <r>
    <s v="Alphaville - Big in Japan"/>
    <s v="synth-pop"/>
    <x v="1"/>
    <s v="https://open.spotify.com/track/3BZGi1yUqQyCNC868AqUGG"/>
    <x v="0"/>
    <s v="ambigua"/>
    <s v="alta-ritmica o baja-ritmica (empate real, 39% vs 33%)"/>
    <x v="4"/>
    <n v="0.38600000000000001"/>
    <s v="baja-ritmica"/>
    <n v="0.32800000000000001"/>
    <n v="5.7999999999999996E-2"/>
    <x v="1"/>
    <b v="0"/>
  </r>
  <r>
    <s v="Ace of Base - Happy Nation"/>
    <s v="eurodance"/>
    <x v="1"/>
    <s v="https://open.spotify.com/track/7yCF65vpc7sUwPjftI0iFb"/>
    <x v="2"/>
    <s v="ambigua"/>
    <s v="alta-ritmica o baja-ritmica (empate real, 34% vs 28%)"/>
    <x v="4"/>
    <n v="0.33900000000000002"/>
    <s v="baja-ritmica"/>
    <n v="0.27800000000000002"/>
    <n v="6.0999999999999999E-2"/>
    <x v="0"/>
    <b v="1"/>
  </r>
  <r>
    <s v="Blondie - Maria - Radio Edit"/>
    <s v="pop-rock"/>
    <x v="0"/>
    <s v="https://open.spotify.com/track/4yHHx0rMvgCOoYoDWNdcR3"/>
    <x v="1"/>
    <s v="ambigua"/>
    <s v="alta-agresiva o incrementable-decreciente (empate real, 30% vs 24%)"/>
    <x v="2"/>
    <n v="0.30399999999999999"/>
    <s v="incrementable-decreciente"/>
    <n v="0.24299999999999999"/>
    <n v="6.0999999999999999E-2"/>
    <x v="0"/>
    <b v="1"/>
  </r>
  <r>
    <s v="Roy Orbison - Oh, Pretty Woman"/>
    <s v="rock-and-roll"/>
    <x v="0"/>
    <s v="https://open.spotify.com/track/48i055G1OT5KxGGftwFxWy"/>
    <x v="0"/>
    <s v="ambigua"/>
    <s v="baja-ritmica o alta-ritmica (empate real, 32% vs 25%)"/>
    <x v="1"/>
    <n v="0.315"/>
    <s v="alta-ritmica"/>
    <n v="0.251"/>
    <n v="6.4000000000000001E-2"/>
    <x v="0"/>
    <b v="0"/>
  </r>
  <r>
    <s v="Shawn Mendes - There's Nothing Holdin' Me Back"/>
    <s v="pop"/>
    <x v="1"/>
    <s v="https://open.spotify.com/track/7JJmb5XwzOO8jgpou264Ml"/>
    <x v="1"/>
    <s v="ambigua"/>
    <s v="alta-ritmica o baja-ritmica (empate real, 32% vs 25%)"/>
    <x v="4"/>
    <n v="0.32100000000000001"/>
    <s v="baja-ritmica"/>
    <n v="0.252"/>
    <n v="6.9000000000000006E-2"/>
    <x v="0"/>
    <b v="0"/>
  </r>
  <r>
    <s v="Roberta Flack - Killing Me Softly With His Song"/>
    <s v="soul"/>
    <x v="1"/>
    <s v="https://open.spotify.com/track/3gsCAGsWr6pUm1Vy7CPPob"/>
    <x v="2"/>
    <s v="ambigua"/>
    <s v="baja-ritmica o baja-contemplativa (empate real, 36% vs 28%)"/>
    <x v="1"/>
    <n v="0.36099999999999999"/>
    <s v="baja-contemplativa"/>
    <n v="0.28000000000000003"/>
    <n v="8.0999999999999961E-2"/>
    <x v="1"/>
    <b v="0"/>
  </r>
  <r>
    <s v="Vundabar - Alien Blues"/>
    <s v="indie-rock"/>
    <x v="0"/>
    <s v="https://open.spotify.com/track/11iIikXxC6NP0Ma8vMD27x"/>
    <x v="3"/>
    <s v="ambigua"/>
    <s v="alta-agresiva o baja-contemplativa (empate real, 29% vs 21%)"/>
    <x v="2"/>
    <n v="0.29299999999999998"/>
    <s v="baja-contemplativa"/>
    <n v="0.21"/>
    <n v="8.299999999999999E-2"/>
    <x v="1"/>
    <b v="0"/>
  </r>
  <r>
    <s v="The Beatles - Come Together - Remastered 2009"/>
    <s v="blues-rock"/>
    <x v="0"/>
    <s v="https://open.spotify.com/track/2EqlS6tkEnglzr7tkKAAYD"/>
    <x v="2"/>
    <s v="ambigua"/>
    <s v="baja-ritmica o baja-contemplativa (empate real, 40% vs 32%)"/>
    <x v="1"/>
    <n v="0.4"/>
    <s v="baja-contemplativa"/>
    <n v="0.316"/>
    <n v="8.4000000000000019E-2"/>
    <x v="1"/>
    <b v="0"/>
  </r>
  <r>
    <s v="Surf Curse - Freaks"/>
    <s v="indie-rock"/>
    <x v="0"/>
    <s v="https://open.spotify.com/track/7EkWXAI1wn8Ii883ecd9xr"/>
    <x v="0"/>
    <s v="ambigua"/>
    <s v="alta-agresiva o alta-ritmica (empate real, 34% vs 26%)"/>
    <x v="2"/>
    <n v="0.34399999999999997"/>
    <s v="alta-ritmica"/>
    <n v="0.25800000000000001"/>
    <n v="8.5999999999999965E-2"/>
    <x v="0"/>
    <b v="1"/>
  </r>
  <r>
    <s v="LP - Lost on You"/>
    <s v="folk-rock"/>
    <x v="0"/>
    <s v="https://open.spotify.com/track/2NttzQ2kuVFFmEa8q4rsbu"/>
    <x v="1"/>
    <s v="ambigua"/>
    <s v="incrementable-decreciente o baja-ritmica (empate real, 37% vs 28%)"/>
    <x v="0"/>
    <n v="0.36899999999999999"/>
    <s v="baja-ritmica"/>
    <n v="0.28299999999999997"/>
    <n v="8.6000000000000021E-2"/>
    <x v="1"/>
    <b v="0"/>
  </r>
  <r>
    <s v="Pink Floyd - Another Brick in the Wall, Pt. 2"/>
    <s v="progressive-rock"/>
    <x v="0"/>
    <s v="https://open.spotify.com/track/4gMgiXfqyzZLMhsksGmbQV"/>
    <x v="0"/>
    <s v="ambigua"/>
    <s v="alta-ritmica o incrementable-decreciente (empate real, 33% vs 24%)"/>
    <x v="4"/>
    <n v="0.32600000000000001"/>
    <s v="incrementable-decreciente"/>
    <n v="0.23599999999999999"/>
    <n v="9.0000000000000024E-2"/>
    <x v="1"/>
    <b v="0"/>
  </r>
  <r>
    <s v="The Monkees - I'm a Believer - 2006 Remaster"/>
    <s v="pop-rock"/>
    <x v="0"/>
    <s v="https://open.spotify.com/track/3G7tRC24Uh09Hmp1KZ7LQ2"/>
    <x v="0"/>
    <s v="ambigua"/>
    <s v="alta-ritmica o alta-agresiva (empate real, 34% vs 25%)"/>
    <x v="4"/>
    <n v="0.34300000000000003"/>
    <s v="alta-agresiva"/>
    <n v="0.252"/>
    <n v="9.1000000000000025E-2"/>
    <x v="1"/>
    <b v="0"/>
  </r>
  <r>
    <s v="Sia - Snowman"/>
    <s v="pop"/>
    <x v="1"/>
    <s v="https://open.spotify.com/track/7uoFMmxln0GPXQ0AcCBXRq"/>
    <x v="2"/>
    <s v="ambigua"/>
    <s v="baja-ritmica o baja-contemplativa (empate real, 34% vs 25%)"/>
    <x v="1"/>
    <n v="0.34100000000000003"/>
    <s v="baja-contemplativa"/>
    <n v="0.25"/>
    <n v="9.1000000000000025E-2"/>
    <x v="1"/>
    <b v="0"/>
  </r>
  <r>
    <s v="Nazareth - Love Hurts - Single Edit"/>
    <s v="hard-rock"/>
    <x v="0"/>
    <s v="https://open.spotify.com/track/6MXUZ4VRQ41qTPWKgvHMCK"/>
    <x v="0"/>
    <s v="ambigua"/>
    <s v="incrementable-decreciente o baja-contemplativa (empate real, 41% vs 31%)"/>
    <x v="0"/>
    <n v="0.40500000000000003"/>
    <s v="baja-contemplativa"/>
    <n v="0.312"/>
    <n v="9.3000000000000027E-2"/>
    <x v="0"/>
    <b v="1"/>
  </r>
  <r>
    <s v="Rupert Holmes - Escape (The Pina Colada Song)"/>
    <s v="soft-rock"/>
    <x v="0"/>
    <s v="https://open.spotify.com/track/5IMtdHjJ1OtkxbGe4zfUxQ"/>
    <x v="2"/>
    <s v="ambigua"/>
    <s v="alta-ritmica o alta-agresiva (empate real, 40% vs 31%)"/>
    <x v="4"/>
    <n v="0.40300000000000002"/>
    <s v="alta-agresiva"/>
    <n v="0.308"/>
    <n v="9.5000000000000029E-2"/>
    <x v="0"/>
    <b v="1"/>
  </r>
  <r>
    <s v="Michael Jackson - Beat It"/>
    <s v="hard-rock"/>
    <x v="0"/>
    <s v="https://open.spotify.com/track/3BovdzfaX4jb5KFQwoPfAw"/>
    <x v="0"/>
    <s v="ambigua"/>
    <s v="alta-agresiva o alta-ritmica (empate real, 44% vs 34%)"/>
    <x v="2"/>
    <n v="0.441"/>
    <s v="alta-ritmica"/>
    <n v="0.34399999999999997"/>
    <n v="9.7000000000000031E-2"/>
    <x v="0"/>
    <b v="0"/>
  </r>
  <r>
    <s v="Radiohead - Creep"/>
    <s v="alternative-rock"/>
    <x v="0"/>
    <s v="https://open.spotify.com/track/70LcF31zb1H0PyJoS1Sx1r"/>
    <x v="1"/>
    <s v="ambigua"/>
    <s v="incrementable-decreciente o alta-agresiva (empate real, 36% vs 25%)"/>
    <x v="0"/>
    <n v="0.35599999999999998"/>
    <s v="alta-agresiva"/>
    <n v="0.251"/>
    <n v="0.10499999999999998"/>
    <x v="1"/>
    <b v="0"/>
  </r>
  <r>
    <s v="Bruno Mars - Locked out of Heaven"/>
    <s v="pop"/>
    <x v="1"/>
    <s v="https://open.spotify.com/track/3w3y8KPTfNeOKPiqUTakBh"/>
    <x v="0"/>
    <s v="ambigua"/>
    <s v="alta-ritmica o baja-ritmica (empate real, 35% vs 24%)"/>
    <x v="4"/>
    <n v="0.34799999999999998"/>
    <s v="baja-ritmica"/>
    <n v="0.24099999999999999"/>
    <n v="0.10699999999999998"/>
    <x v="1"/>
    <b v="0"/>
  </r>
  <r>
    <s v="Muse - Supermassive Black Hole"/>
    <s v="alternative-rock"/>
    <x v="0"/>
    <s v="https://open.spotify.com/track/3lPr8ghNDBLc2uZovNyLs9"/>
    <x v="0"/>
    <s v="revisar"/>
    <s v="ninguna categoria domina (mejor: alta-ritmica con solo 39%)"/>
    <x v="4"/>
    <n v="0.39200000000000002"/>
    <s v="baja-ritmica"/>
    <n v="0.27200000000000002"/>
    <n v="0.12"/>
    <x v="1"/>
    <b v="0"/>
  </r>
  <r>
    <s v="The White Stripes - Seven Nation Army"/>
    <s v="garage-rock"/>
    <x v="0"/>
    <s v="https://open.spotify.com/track/3dPQuX8Gs42Y7b454ybpMR"/>
    <x v="1"/>
    <s v="revisar"/>
    <s v="ninguna categoria domina (mejor: incrementable-decreciente con solo 37%)"/>
    <x v="0"/>
    <n v="0.36699999999999999"/>
    <s v="baja-ritmica"/>
    <n v="0.246"/>
    <n v="0.121"/>
    <x v="1"/>
    <b v="0"/>
  </r>
  <r>
    <s v="George Harrison - My Sweet Lord - 2014 Remaster"/>
    <s v="folk-rock"/>
    <x v="0"/>
    <s v="https://open.spotify.com/track/0KZodeWxqxd88F9wY1cqgs"/>
    <x v="2"/>
    <s v="revisar"/>
    <s v="ninguna categoria domina (mejor: incrementable-decreciente con solo 37%)"/>
    <x v="0"/>
    <n v="0.373"/>
    <s v="baja-ritmica"/>
    <n v="0.251"/>
    <n v="0.122"/>
    <x v="0"/>
    <b v="0"/>
  </r>
  <r>
    <s v="ABBA - Lay All Your Love On Me"/>
    <s v="disco"/>
    <x v="1"/>
    <s v="https://open.spotify.com/track/4euAGZTszWPrriggYK0HG9"/>
    <x v="0"/>
    <s v="revisar"/>
    <s v="ninguna categoria domina (mejor: alta-ritmica con solo 40%)"/>
    <x v="4"/>
    <n v="0.39700000000000002"/>
    <s v="baja-ritmica"/>
    <n v="0.27"/>
    <n v="0.127"/>
    <x v="1"/>
    <b v="0"/>
  </r>
  <r>
    <s v="Bee Gees - Tragedy"/>
    <s v="pop-rock"/>
    <x v="0"/>
    <s v="https://open.spotify.com/track/6UXXeFqMBGiqjkzQzkMT3E"/>
    <x v="0"/>
    <s v="revisar"/>
    <s v="ninguna categoria domina (mejor: alta-ritmica con solo 42%)"/>
    <x v="4"/>
    <n v="0.42099999999999999"/>
    <s v="alta-agresiva"/>
    <n v="0.29099999999999998"/>
    <n v="0.13"/>
    <x v="1"/>
    <b v="0"/>
  </r>
  <r>
    <s v="The Beatles - Eleanor Rigby - Remastered 2009"/>
    <s v="baroque-pop"/>
    <x v="1"/>
    <s v="https://open.spotify.com/track/5GjPQ0eI7AgmOnADn1EO6Q"/>
    <x v="2"/>
    <s v="revisar"/>
    <s v="ninguna categoria domina (mejor: baja-contemplativa con solo 44%)"/>
    <x v="3"/>
    <n v="0.438"/>
    <s v="baja-ritmica"/>
    <n v="0.307"/>
    <n v="0.13100000000000001"/>
    <x v="0"/>
    <b v="0"/>
  </r>
  <r>
    <s v="Twenty One Pilots - Stressed Out"/>
    <s v="alternative-rock"/>
    <x v="0"/>
    <s v="https://open.spotify.com/track/3CRDbSIZ4r5MsZ0YwxuEkn"/>
    <x v="0"/>
    <s v="revisar"/>
    <s v="ninguna categoria domina (mejor: alta-ritmica con solo 38%)"/>
    <x v="4"/>
    <n v="0.379"/>
    <s v="baja-ritmica"/>
    <n v="0.248"/>
    <n v="0.13100000000000001"/>
    <x v="1"/>
    <b v="0"/>
  </r>
  <r>
    <s v="The Hollies - Long Cool Woman (In a Black Dress) - 1999 Remaster"/>
    <s v="roots-rock"/>
    <x v="0"/>
    <s v="https://open.spotify.com/track/1J5XEPamp7iQaCU0aFuMnd"/>
    <x v="0"/>
    <s v="revisar"/>
    <s v="ninguna categoria domina (mejor: alta-ritmica con solo 37%)"/>
    <x v="4"/>
    <n v="0.371"/>
    <s v="alta-agresiva"/>
    <n v="0.23899999999999999"/>
    <n v="0.13200000000000001"/>
    <x v="1"/>
    <b v="0"/>
  </r>
  <r>
    <s v="Boney M. - Sunny"/>
    <s v="disco"/>
    <x v="1"/>
    <s v="https://open.spotify.com/track/3pf96IFggfQuT6Gafqx2rt"/>
    <x v="2"/>
    <s v="revisar"/>
    <s v="ninguna categoria domina (mejor: alta-agresiva con solo 39%)"/>
    <x v="2"/>
    <n v="0.38600000000000001"/>
    <s v="baja-ritmica"/>
    <n v="0.25"/>
    <n v="0.13600000000000001"/>
    <x v="0"/>
    <b v="1"/>
  </r>
  <r>
    <s v="Elton John - Rocket Man (I Think It's Going To Be A Long, Long Time)"/>
    <s v="soft-rock"/>
    <x v="0"/>
    <s v="https://open.spotify.com/track/3gdewACMIVMEWVbyb8O9sY"/>
    <x v="2"/>
    <s v="revisar"/>
    <s v="ninguna categoria domina (mejor: incrementable-decreciente con solo 38%)"/>
    <x v="0"/>
    <n v="0.38300000000000001"/>
    <s v="baja-ritmica"/>
    <n v="0.247"/>
    <n v="0.13600000000000001"/>
    <x v="0"/>
    <b v="0"/>
  </r>
  <r>
    <s v="JAWNY - lalala"/>
    <s v="soft-rock"/>
    <x v="0"/>
    <s v="https://open.spotify.com/track/2pCR7dwwRpeAAnpUr1Ekwz"/>
    <x v="2"/>
    <s v="revisar"/>
    <s v="ninguna categoria domina (mejor: baja-ritmica con solo 44%)"/>
    <x v="1"/>
    <n v="0.437"/>
    <s v="alta-ritmica"/>
    <n v="0.29699999999999999"/>
    <n v="0.14000000000000001"/>
    <x v="1"/>
    <b v="0"/>
  </r>
  <r>
    <s v="Air Supply - Making Love Out of Nothing at All"/>
    <s v="indie-pop"/>
    <x v="1"/>
    <s v="https://open.spotify.com/track/188ogJrKez9zzsidIg22X8"/>
    <x v="1"/>
    <s v="confiable"/>
    <s v="incrementable-decreciente (46%)"/>
    <x v="0"/>
    <n v="0.46100000000000002"/>
    <s v="baja-contemplativa"/>
    <n v="0.315"/>
    <n v="0.14600000000000002"/>
    <x v="1"/>
    <b v="0"/>
  </r>
  <r>
    <s v="Engelbert Humperdinck - A Man Without Love"/>
    <s v="traditional-pop"/>
    <x v="1"/>
    <s v="https://open.spotify.com/track/0oUBuOO4g9P4lREqfqR5nq"/>
    <x v="1"/>
    <s v="revisar"/>
    <s v="ninguna categoria domina (mejor: incrementable-decreciente con solo 37%)"/>
    <x v="0"/>
    <n v="0.36899999999999999"/>
    <s v="baja-ritmica"/>
    <n v="0.22"/>
    <n v="0.14899999999999999"/>
    <x v="1"/>
    <b v="0"/>
  </r>
  <r>
    <s v="Marvin Gaye, Tammi Terrell - Ain't No Mountain High Enough"/>
    <s v="traditional-pop"/>
    <x v="1"/>
    <s v="https://open.spotify.com/track/7tqhbajSfrz2F7E1Z75ASX"/>
    <x v="1"/>
    <s v="revisar"/>
    <s v="ninguna categoria domina (mejor: incrementable-decreciente con solo 36%)"/>
    <x v="0"/>
    <n v="0.35599999999999998"/>
    <s v="alta-agresiva"/>
    <n v="0.20699999999999999"/>
    <n v="0.14899999999999999"/>
    <x v="1"/>
    <b v="0"/>
  </r>
  <r>
    <s v="KISS - I Was Made For Lovin' You"/>
    <s v="hard-rock"/>
    <x v="0"/>
    <s v="https://open.spotify.com/track/07q0QVgO56EorrSGHC48y3"/>
    <x v="3"/>
    <s v="confiable"/>
    <s v="alta-agresiva (49%)"/>
    <x v="2"/>
    <n v="0.48599999999999999"/>
    <s v="alta-ritmica"/>
    <n v="0.33300000000000002"/>
    <n v="0.15299999999999997"/>
    <x v="1"/>
    <b v="0"/>
  </r>
  <r>
    <s v="The Smiths - There Is a Light That Never Goes Out - 2011 Remaster"/>
    <s v="indie-rock"/>
    <x v="0"/>
    <s v="https://open.spotify.com/track/0WQiDwKJclirSYG9v5tayI"/>
    <x v="2"/>
    <s v="revisar"/>
    <s v="ninguna categoria domina (mejor: baja-ritmica con solo 39%)"/>
    <x v="1"/>
    <n v="0.39400000000000002"/>
    <s v="alta-agresiva"/>
    <n v="0.23599999999999999"/>
    <n v="0.15800000000000003"/>
    <x v="1"/>
    <b v="0"/>
  </r>
  <r>
    <s v="Fleetwood Mac - The Chain - 2004 Remaster"/>
    <s v="classic-rock"/>
    <x v="0"/>
    <s v="https://open.spotify.com/track/5e9TFTbltYBg2xThimr0rU"/>
    <x v="1"/>
    <s v="revisar"/>
    <s v="ninguna categoria domina (mejor: incrementable-decreciente con solo 41%)"/>
    <x v="0"/>
    <n v="0.40799999999999997"/>
    <s v="alta-ritmica"/>
    <n v="0.24399999999999999"/>
    <n v="0.16399999999999998"/>
    <x v="1"/>
    <b v="0"/>
  </r>
  <r>
    <s v="Boney M. - Gotta Go Home"/>
    <s v="disco"/>
    <x v="1"/>
    <s v="https://open.spotify.com/track/4MvGHDenL4t9JW1RHB4rK2"/>
    <x v="0"/>
    <s v="revisar"/>
    <s v="ninguna categoria domina (mejor: alta-ritmica con solo 44%)"/>
    <x v="4"/>
    <n v="0.442"/>
    <s v="alta-agresiva"/>
    <n v="0.27300000000000002"/>
    <n v="0.16899999999999998"/>
    <x v="1"/>
    <b v="0"/>
  </r>
  <r>
    <s v="Gilbert O'Sullivan - Alone Again (Naturally)"/>
    <s v="soft-rock"/>
    <x v="0"/>
    <s v="https://open.spotify.com/track/54pvEYFocTlvIAQOfXSjqV"/>
    <x v="4"/>
    <s v="revisar"/>
    <s v="ninguna categoria domina (mejor: baja-contemplativa con solo 43%)"/>
    <x v="3"/>
    <n v="0.433"/>
    <s v="baja-ritmica"/>
    <n v="0.26200000000000001"/>
    <n v="0.17099999999999999"/>
    <x v="1"/>
    <b v="0"/>
  </r>
  <r>
    <s v="Louis Armstrong - What A Wonderful World"/>
    <s v="traditional-pop"/>
    <x v="1"/>
    <s v="https://open.spotify.com/track/29U7stRjqHU6rMiS8BfaI9"/>
    <x v="4"/>
    <s v="revisar"/>
    <s v="ninguna categoria domina (mejor: baja-contemplativa con solo 36%)"/>
    <x v="3"/>
    <n v="0.35799999999999998"/>
    <s v="baja-ritmica"/>
    <n v="0.184"/>
    <n v="0.17399999999999999"/>
    <x v="1"/>
    <b v="0"/>
  </r>
  <r>
    <s v="Earth, Wind &amp; Fire, The Emotions - Boogie Wonderland (with The Emotions)"/>
    <s v="disco"/>
    <x v="1"/>
    <s v="https://open.spotify.com/track/6ztstiyZL6FXzh4aG46ZPD"/>
    <x v="0"/>
    <s v="confiable"/>
    <s v="alta-ritmica (49%)"/>
    <x v="4"/>
    <n v="0.48799999999999999"/>
    <s v="alta-agresiva"/>
    <n v="0.312"/>
    <n v="0.17599999999999999"/>
    <x v="1"/>
    <b v="0"/>
  </r>
  <r>
    <s v="Gilbert O'Sullivan - Clair"/>
    <s v="soft-rock"/>
    <x v="0"/>
    <s v="https://open.spotify.com/track/6yzN1aLjcsP5coOUZPOrJb"/>
    <x v="2"/>
    <s v="revisar"/>
    <s v="ninguna categoria domina (mejor: baja-ritmica con solo 38%)"/>
    <x v="1"/>
    <n v="0.379"/>
    <s v="incrementable-decreciente"/>
    <n v="0.19500000000000001"/>
    <n v="0.184"/>
    <x v="1"/>
    <b v="0"/>
  </r>
  <r>
    <s v="Michael Sembello - Maniac"/>
    <s v="synth-pop"/>
    <x v="1"/>
    <s v="https://open.spotify.com/track/0QKfiqpEU4h9ycPSzIFwYe"/>
    <x v="2"/>
    <s v="revisar"/>
    <s v="ninguna categoria domina (mejor: baja-ritmica con solo 45%)"/>
    <x v="1"/>
    <n v="0.44900000000000001"/>
    <s v="alta-ritmica"/>
    <n v="0.26300000000000001"/>
    <n v="0.186"/>
    <x v="1"/>
    <b v="0"/>
  </r>
  <r>
    <s v="Rick James - Super Freak"/>
    <s v="funk"/>
    <x v="1"/>
    <s v="https://open.spotify.com/track/2dCmGcEOQrMQhMMS8Vj7Ca"/>
    <x v="0"/>
    <s v="confiable"/>
    <s v="alta-ritmica (50%)"/>
    <x v="4"/>
    <n v="0.501"/>
    <s v="alta-agresiva"/>
    <n v="0.307"/>
    <n v="0.19400000000000001"/>
    <x v="1"/>
    <b v="0"/>
  </r>
  <r>
    <s v="Harry Styles - As It Was"/>
    <s v="pop"/>
    <x v="1"/>
    <s v="https://open.spotify.com/track/4Dvkj6JhhA12EX05fT7y2e"/>
    <x v="2"/>
    <s v="confiable"/>
    <s v="baja-ritmica (47%)"/>
    <x v="1"/>
    <n v="0.47199999999999998"/>
    <s v="alta-ritmica"/>
    <n v="0.27500000000000002"/>
    <n v="0.19699999999999995"/>
    <x v="1"/>
    <b v="0"/>
  </r>
  <r>
    <s v="Billy Joel - Piano Man"/>
    <s v="soft-rock"/>
    <x v="0"/>
    <s v="https://open.spotify.com/track/70C4NyhjD5OZUMzvWZ3njJ"/>
    <x v="1"/>
    <s v="revisar"/>
    <s v="ninguna categoria domina (mejor: incrementable-decreciente con solo 45%)"/>
    <x v="0"/>
    <n v="0.44600000000000001"/>
    <s v="baja-ritmica"/>
    <n v="0.246"/>
    <n v="0.2"/>
    <x v="1"/>
    <b v="0"/>
  </r>
  <r>
    <s v="Led Zeppelin - Stairway to Heaven - Remaster"/>
    <s v="hard-rock"/>
    <x v="0"/>
    <s v="https://open.spotify.com/track/5CQ30WqJwcep0pYcV4AMNc"/>
    <x v="1"/>
    <s v="confiable"/>
    <s v="incrementable-decreciente (48%)"/>
    <x v="0"/>
    <n v="0.48299999999999998"/>
    <s v="baja-contemplativa"/>
    <n v="0.28100000000000003"/>
    <n v="0.20199999999999996"/>
    <x v="1"/>
    <b v="0"/>
  </r>
  <r>
    <s v="Ritchie Valens - La Bamba - Single Version"/>
    <s v="rock-and-roll"/>
    <x v="0"/>
    <s v="https://open.spotify.com/track/2aEeghgUcnu75tzcolFMfs"/>
    <x v="0"/>
    <s v="revisar"/>
    <s v="ninguna categoria domina (mejor: alta-ritmica con solo 43%)"/>
    <x v="4"/>
    <n v="0.42499999999999999"/>
    <s v="baja-ritmica"/>
    <n v="0.223"/>
    <n v="0.20199999999999999"/>
    <x v="1"/>
    <b v="0"/>
  </r>
  <r>
    <s v="Neil Sedaka - Oh! Carol"/>
    <s v="rock-and-roll"/>
    <x v="0"/>
    <s v="https://open.spotify.com/track/5zvOXJrzzUlvXwyuwZ0toZ"/>
    <x v="0"/>
    <s v="revisar"/>
    <s v="ninguna categoria domina (mejor: baja-contemplativa con solo 41%)"/>
    <x v="3"/>
    <n v="0.41299999999999998"/>
    <s v="baja-ritmica"/>
    <n v="0.21"/>
    <n v="0.20299999999999999"/>
    <x v="0"/>
    <b v="1"/>
  </r>
  <r>
    <s v="Earth, Wind &amp; Fire - September"/>
    <s v="disco"/>
    <x v="1"/>
    <s v="https://open.spotify.com/track/3kXoKlD84c6OmIcOLfrfEs"/>
    <x v="0"/>
    <s v="confiable"/>
    <s v="alta-ritmica (47%)"/>
    <x v="4"/>
    <n v="0.46800000000000003"/>
    <s v="alta-agresiva"/>
    <n v="0.26500000000000001"/>
    <n v="0.20300000000000001"/>
    <x v="1"/>
    <b v="0"/>
  </r>
  <r>
    <s v="The Cure - Boys Don't Cry"/>
    <s v="alternative-rock"/>
    <x v="0"/>
    <s v="https://open.spotify.com/track/1QFh8OH1e78dGd3VyJZCAC"/>
    <x v="0"/>
    <s v="revisar"/>
    <s v="ninguna categoria domina (mejor: alta-ritmica con solo 43%)"/>
    <x v="4"/>
    <n v="0.42699999999999999"/>
    <s v="baja-ritmica"/>
    <n v="0.221"/>
    <n v="0.20599999999999999"/>
    <x v="1"/>
    <b v="0"/>
  </r>
  <r>
    <s v="Desireless - Voyage voyage"/>
    <s v="synth-pop"/>
    <x v="1"/>
    <s v="https://open.spotify.com/track/2d8D7uk3tbAThjRkdfrx9c"/>
    <x v="2"/>
    <s v="revisar"/>
    <s v="ninguna categoria domina (mejor: baja-ritmica con solo 44%)"/>
    <x v="1"/>
    <n v="0.436"/>
    <s v="alta-ritmica"/>
    <n v="0.22600000000000001"/>
    <n v="0.21"/>
    <x v="1"/>
    <b v="0"/>
  </r>
  <r>
    <s v="JÃ³sean Log - Doma"/>
    <s v="indie-folk"/>
    <x v="1"/>
    <s v="https://open.spotify.com/track/58cLm4PaHNt8DDr9ayZnNz"/>
    <x v="0"/>
    <s v="revisar"/>
    <s v="ninguna categoria domina (mejor: baja-ritmica con solo 40%)"/>
    <x v="1"/>
    <n v="0.40200000000000002"/>
    <s v="alta-ritmica"/>
    <n v="0.192"/>
    <n v="0.21000000000000002"/>
    <x v="0"/>
    <b v="1"/>
  </r>
  <r>
    <s v="Tears For Fears - Everybody Wants To Rule The World"/>
    <s v="pop-rock"/>
    <x v="0"/>
    <s v="https://open.spotify.com/track/4RvWPyQ5RL0ao9LPZeSouE"/>
    <x v="2"/>
    <s v="revisar"/>
    <s v="ninguna categoria domina (mejor: baja-ritmica con solo 45%)"/>
    <x v="1"/>
    <n v="0.44800000000000001"/>
    <s v="alta-ritmica"/>
    <n v="0.23799999999999999"/>
    <n v="0.21000000000000002"/>
    <x v="1"/>
    <b v="0"/>
  </r>
  <r>
    <s v="John Travolta, Olivia Newton-John - You're The One That I Want - From â€œGreaseâ€"/>
    <s v="pop"/>
    <x v="1"/>
    <s v="https://open.spotify.com/track/0B9x2BRHqj3Qer7biM3pU3"/>
    <x v="3"/>
    <s v="confiable"/>
    <s v="alta-agresiva (49%)"/>
    <x v="2"/>
    <n v="0.49299999999999999"/>
    <s v="alta-ritmica"/>
    <n v="0.27800000000000002"/>
    <n v="0.21499999999999997"/>
    <x v="1"/>
    <b v="0"/>
  </r>
  <r>
    <s v="Kitty Kallen, Harry James - It's Been a Long, Long Time (with Harry James &amp; His Orchestra)"/>
    <s v="traditional-pop"/>
    <x v="1"/>
    <s v="https://open.spotify.com/track/61sVa3rLHOYqrshahMJj0A"/>
    <x v="2"/>
    <s v="confiable"/>
    <s v="incrementable-decreciente (46%)"/>
    <x v="0"/>
    <n v="0.45900000000000002"/>
    <s v="baja-contemplativa"/>
    <n v="0.24199999999999999"/>
    <n v="0.21700000000000003"/>
    <x v="0"/>
    <b v="1"/>
  </r>
  <r>
    <s v="Elvis Presley - Jailhouse Rock"/>
    <s v="rock-and-roll"/>
    <x v="0"/>
    <s v="https://open.spotify.com/track/452KBpASS5lZLeJWX9Ixub"/>
    <x v="0"/>
    <s v="revisar"/>
    <s v="ninguna categoria domina (mejor: alta-ritmica con solo 43%)"/>
    <x v="4"/>
    <n v="0.434"/>
    <s v="alta-agresiva"/>
    <n v="0.216"/>
    <n v="0.218"/>
    <x v="1"/>
    <b v="0"/>
  </r>
  <r>
    <s v="Bruno Mars - The Lazy Song"/>
    <s v="pop"/>
    <x v="1"/>
    <s v="https://open.spotify.com/track/386RUes7n1uM1yfzgeUuwp"/>
    <x v="2"/>
    <s v="confiable"/>
    <s v="alta-ritmica (48%)"/>
    <x v="4"/>
    <n v="0.48"/>
    <s v="baja-ritmica"/>
    <n v="0.26100000000000001"/>
    <n v="0.21899999999999997"/>
    <x v="0"/>
    <b v="0"/>
  </r>
  <r>
    <s v="MÃ¥neskin - Beggin'"/>
    <s v="hard-rock"/>
    <x v="0"/>
    <s v="https://open.spotify.com/track/3Wrjm47oTz2sjIgck11l5e"/>
    <x v="3"/>
    <s v="confiable"/>
    <s v="alta-agresiva (47%)"/>
    <x v="2"/>
    <n v="0.46600000000000003"/>
    <s v="alta-ritmica"/>
    <n v="0.23799999999999999"/>
    <n v="0.22800000000000004"/>
    <x v="1"/>
    <b v="0"/>
  </r>
  <r>
    <s v="Ace of Base - All That She Wants"/>
    <s v="reggae-fusion"/>
    <x v="1"/>
    <s v="https://open.spotify.com/track/6kWJvPfC4DgUpRsXKNa9z9"/>
    <x v="2"/>
    <s v="confiable"/>
    <s v="alta-ritmica (48%)"/>
    <x v="4"/>
    <n v="0.48199999999999998"/>
    <s v="baja-ritmica"/>
    <n v="0.253"/>
    <n v="0.22899999999999998"/>
    <x v="0"/>
    <b v="0"/>
  </r>
  <r>
    <s v="Bonnie Tyler - Total Eclipse of the Heart"/>
    <s v="soft-rock"/>
    <x v="0"/>
    <s v="https://open.spotify.com/track/7wuJGgpTNzbUyn26IOY6rj"/>
    <x v="1"/>
    <s v="confiable"/>
    <s v="incrementable-decreciente (48%)"/>
    <x v="0"/>
    <n v="0.47799999999999998"/>
    <s v="alta-agresiva"/>
    <n v="0.248"/>
    <n v="0.22999999999999998"/>
    <x v="1"/>
    <b v="0"/>
  </r>
  <r>
    <s v="Frank Sinatra - My Way"/>
    <s v="traditional-pop"/>
    <x v="1"/>
    <s v="https://open.spotify.com/track/3spdoTYpuCpmq19tuD0bOe"/>
    <x v="1"/>
    <s v="confiable"/>
    <s v="baja-contemplativa (53%)"/>
    <x v="3"/>
    <n v="0.52600000000000002"/>
    <s v="incrementable-decreciente"/>
    <n v="0.29399999999999998"/>
    <n v="0.23200000000000004"/>
    <x v="0"/>
    <b v="1"/>
  </r>
  <r>
    <s v="Queen - Somebody To Love - Remastered 2011"/>
    <s v="classic-rock"/>
    <x v="0"/>
    <s v="https://open.spotify.com/track/4rDbp1vnvEhieiccprPMdI"/>
    <x v="1"/>
    <s v="revisar"/>
    <s v="ninguna categoria domina (mejor: incrementable-decreciente con solo 45%)"/>
    <x v="0"/>
    <n v="0.45"/>
    <s v="alta-agresiva"/>
    <n v="0.20699999999999999"/>
    <n v="0.24300000000000002"/>
    <x v="1"/>
    <b v="0"/>
  </r>
  <r>
    <s v="Marmalade - Reflections Of My Life"/>
    <s v="soft-rock"/>
    <x v="0"/>
    <s v="https://open.spotify.com/track/51vio68HmRHQr6lCWxboM9"/>
    <x v="1"/>
    <s v="confiable"/>
    <s v="baja-contemplativa (55%)"/>
    <x v="3"/>
    <n v="0.54900000000000004"/>
    <s v="incrementable-decreciente"/>
    <n v="0.30399999999999999"/>
    <n v="0.24500000000000005"/>
    <x v="0"/>
    <b v="1"/>
  </r>
  <r>
    <s v="The Drums - I Don't Know How To Love"/>
    <s v="indie-rock"/>
    <x v="0"/>
    <s v="https://open.spotify.com/track/2YvWonOJesvP0yu9IFJY7S"/>
    <x v="2"/>
    <s v="revisar"/>
    <s v="ninguna categoria domina (mejor: baja-ritmica con solo 42%)"/>
    <x v="1"/>
    <n v="0.41799999999999998"/>
    <s v="alta-agresiva"/>
    <n v="0.16700000000000001"/>
    <n v="0.251"/>
    <x v="1"/>
    <b v="0"/>
  </r>
  <r>
    <s v="Radiohead - Exit Music (For A Film)"/>
    <s v="alternative-rock"/>
    <x v="0"/>
    <s v="https://open.spotify.com/track/0z1o5L7HJx562xZSATcIpY"/>
    <x v="1"/>
    <s v="confiable"/>
    <s v="incrementable-decreciente (50%)"/>
    <x v="0"/>
    <n v="0.501"/>
    <s v="baja-contemplativa"/>
    <n v="0.245"/>
    <n v="0.25600000000000001"/>
    <x v="1"/>
    <b v="0"/>
  </r>
  <r>
    <s v="The Beatles - Here Comes The Sun - Remastered 2009"/>
    <s v="folk-rock"/>
    <x v="0"/>
    <s v="https://open.spotify.com/track/6dGnYIeXmHdcikdzNNDMm2"/>
    <x v="2"/>
    <s v="revisar"/>
    <s v="ninguna categoria domina (mejor: baja-ritmica con solo 45%)"/>
    <x v="1"/>
    <n v="0.44800000000000001"/>
    <s v="alta-ritmica"/>
    <n v="0.18099999999999999"/>
    <n v="0.26700000000000002"/>
    <x v="1"/>
    <b v="0"/>
  </r>
  <r>
    <s v="America, George Martin - A Horse with No Name"/>
    <s v="folk-rock"/>
    <x v="0"/>
    <s v="https://open.spotify.com/track/54eZmuggBFJbV7k248bTTt"/>
    <x v="2"/>
    <s v="confiable"/>
    <s v="baja-ritmica (48%)"/>
    <x v="1"/>
    <n v="0.48299999999999998"/>
    <s v="baja-contemplativa"/>
    <n v="0.21199999999999999"/>
    <n v="0.27100000000000002"/>
    <x v="1"/>
    <b v="0"/>
  </r>
  <r>
    <s v="Tally Hall - The Bidding"/>
    <s v="indie-rock"/>
    <x v="0"/>
    <s v="https://open.spotify.com/track/0HBrtXJohbIW4IhPZ50GmH"/>
    <x v="1"/>
    <s v="confiable"/>
    <s v="incrementable-decreciente (47%)"/>
    <x v="0"/>
    <n v="0.46700000000000003"/>
    <s v="alta-ritmica"/>
    <n v="0.189"/>
    <n v="0.27800000000000002"/>
    <x v="1"/>
    <b v="0"/>
  </r>
  <r>
    <s v="The Animals - House of the Rising Sun"/>
    <s v="blues-rock"/>
    <x v="0"/>
    <s v="https://open.spotify.com/track/4mn2kNTqiGLwaUR8JdhJ1l"/>
    <x v="1"/>
    <s v="confiable"/>
    <s v="incrementable-decreciente (47%)"/>
    <x v="0"/>
    <n v="0.47199999999999998"/>
    <s v="baja-ritmica"/>
    <n v="0.183"/>
    <n v="0.28899999999999998"/>
    <x v="1"/>
    <b v="0"/>
  </r>
  <r>
    <s v="Tina Charles - I Love to Love"/>
    <s v="disco"/>
    <x v="1"/>
    <s v="https://open.spotify.com/track/5jWI1xNxABzDRFTnD2yp8L"/>
    <x v="0"/>
    <s v="confiable"/>
    <s v="alta-ritmica (52%)"/>
    <x v="4"/>
    <n v="0.51600000000000001"/>
    <s v="alta-agresiva"/>
    <n v="0.22700000000000001"/>
    <n v="0.28900000000000003"/>
    <x v="1"/>
    <b v="0"/>
  </r>
  <r>
    <s v="Santo &amp; Johnny - Sleep Walk"/>
    <s v="instrumental-rock"/>
    <x v="0"/>
    <s v="https://open.spotify.com/track/0yK8sWD6cfrc7pGfaPIcZH"/>
    <x v="2"/>
    <s v="confiable"/>
    <s v="baja-contemplativa (56%)"/>
    <x v="3"/>
    <n v="0.55600000000000005"/>
    <s v="baja-ritmica"/>
    <n v="0.25900000000000001"/>
    <n v="0.29700000000000004"/>
    <x v="0"/>
    <b v="0"/>
  </r>
  <r>
    <s v="La Bouche - Be My Lover"/>
    <s v="eurodance"/>
    <x v="1"/>
    <s v="https://open.spotify.com/track/3YB6nCSuFqNiqOvPtAPK9X"/>
    <x v="0"/>
    <s v="confiable"/>
    <s v="alta-ritmica (53%)"/>
    <x v="4"/>
    <n v="0.52700000000000002"/>
    <s v="baja-ritmica"/>
    <n v="0.223"/>
    <n v="0.30400000000000005"/>
    <x v="1"/>
    <b v="0"/>
  </r>
  <r>
    <s v="The Righteous Brothers - Unchained Melody"/>
    <s v="traditional-pop"/>
    <x v="1"/>
    <s v="https://open.spotify.com/track/2qhASBzpbFhPRtrnZ5lLnz"/>
    <x v="1"/>
    <s v="confiable"/>
    <s v="baja-contemplativa (53%)"/>
    <x v="3"/>
    <n v="0.53300000000000003"/>
    <s v="incrementable-decreciente"/>
    <n v="0.22600000000000001"/>
    <n v="0.30700000000000005"/>
    <x v="0"/>
    <b v="1"/>
  </r>
  <r>
    <s v="The Human League - Don't You Want Me"/>
    <s v="synth-pop"/>
    <x v="1"/>
    <s v="https://open.spotify.com/track/3L7RtEcu1Hw3OXrpnthngx"/>
    <x v="0"/>
    <s v="confiable"/>
    <s v="alta-ritmica (53%)"/>
    <x v="4"/>
    <n v="0.52500000000000002"/>
    <s v="alta-agresiva"/>
    <n v="0.20799999999999999"/>
    <n v="0.31700000000000006"/>
    <x v="1"/>
    <b v="0"/>
  </r>
  <r>
    <s v="Rod Stewart - Young Turks"/>
    <s v="pop-rock"/>
    <x v="0"/>
    <s v="https://open.spotify.com/track/6sBA8b9bT8Z8G8TkVDvNTK"/>
    <x v="0"/>
    <s v="confiable"/>
    <s v="alta-ritmica (52%)"/>
    <x v="4"/>
    <n v="0.52100000000000002"/>
    <s v="baja-ritmica"/>
    <n v="0.19800000000000001"/>
    <n v="0.32300000000000001"/>
    <x v="1"/>
    <b v="0"/>
  </r>
  <r>
    <s v="Boney M. - Rasputin"/>
    <s v="disco"/>
    <x v="1"/>
    <s v="https://open.spotify.com/track/5lWSa1rmuSL6OBPOnkAqoa"/>
    <x v="0"/>
    <s v="confiable"/>
    <s v="alta-ritmica (54%)"/>
    <x v="4"/>
    <n v="0.53600000000000003"/>
    <s v="baja-ritmica"/>
    <n v="0.21099999999999999"/>
    <n v="0.32500000000000007"/>
    <x v="1"/>
    <b v="0"/>
  </r>
  <r>
    <s v="Modern Talking - Cheri Cheri Lady"/>
    <s v="eurodisco"/>
    <x v="1"/>
    <s v="https://open.spotify.com/track/2aEuA8PSqLa17Y4hKPj5rr"/>
    <x v="2"/>
    <s v="confiable"/>
    <s v="baja-ritmica (54%)"/>
    <x v="1"/>
    <n v="0.53600000000000003"/>
    <s v="alta-ritmica"/>
    <n v="0.21"/>
    <n v="0.32600000000000007"/>
    <x v="1"/>
    <b v="0"/>
  </r>
  <r>
    <s v="Bee Gees - Stayin' Alive"/>
    <s v="disco"/>
    <x v="1"/>
    <s v="https://open.spotify.com/track/4UDmDIqJIbrW0hMBQMFOsM"/>
    <x v="0"/>
    <s v="confiable"/>
    <s v="alta-ritmica (56%)"/>
    <x v="4"/>
    <n v="0.56299999999999994"/>
    <s v="alta-agresiva"/>
    <n v="0.219"/>
    <n v="0.34399999999999997"/>
    <x v="1"/>
    <b v="0"/>
  </r>
  <r>
    <s v="The Clash - Should I Stay or Should I Go - Remastered"/>
    <s v="punk-rock"/>
    <x v="0"/>
    <s v="https://open.spotify.com/track/39shmbIHICJ2Wxnk1fPSdz"/>
    <x v="0"/>
    <s v="confiable"/>
    <s v="alta-ritmica (56%)"/>
    <x v="4"/>
    <n v="0.56499999999999995"/>
    <s v="alta-agresiva"/>
    <n v="0.219"/>
    <n v="0.34599999999999997"/>
    <x v="1"/>
    <b v="0"/>
  </r>
  <r>
    <s v="Beach House - Space Song"/>
    <s v="dream-pop"/>
    <x v="1"/>
    <s v="https://open.spotify.com/track/1ujxjsoNvh4XgS2fUNwkZ2"/>
    <x v="4"/>
    <s v="confiable"/>
    <s v="baja-contemplativa (59%)"/>
    <x v="3"/>
    <n v="0.58799999999999997"/>
    <s v="incrementable-decreciente"/>
    <n v="0.23499999999999999"/>
    <n v="0.35299999999999998"/>
    <x v="1"/>
    <b v="0"/>
  </r>
  <r>
    <s v="Dschinghis Khan - Moskau"/>
    <s v="disco"/>
    <x v="1"/>
    <s v="https://open.spotify.com/track/5t77UGzgSBRDDnaxJvE9R3"/>
    <x v="3"/>
    <s v="confiable"/>
    <s v="alta-agresiva (56%)"/>
    <x v="2"/>
    <n v="0.56000000000000005"/>
    <s v="alta-ritmica"/>
    <n v="0.20599999999999999"/>
    <n v="0.35400000000000009"/>
    <x v="1"/>
    <b v="0"/>
  </r>
  <r>
    <s v="The Beatles - And I Love Her - Remastered 2009"/>
    <s v="folk-rock"/>
    <x v="0"/>
    <s v="https://open.spotify.com/track/65vdMBskhx3akkG9vQlSH1"/>
    <x v="4"/>
    <s v="confiable"/>
    <s v="baja-contemplativa (53%)"/>
    <x v="3"/>
    <n v="0.53300000000000003"/>
    <s v="incrementable-decreciente"/>
    <n v="0.17499999999999999"/>
    <n v="0.35800000000000004"/>
    <x v="1"/>
    <b v="0"/>
  </r>
  <r>
    <s v="Kylie Minogue - Can't Get You out of My Head"/>
    <s v="dance-pop"/>
    <x v="1"/>
    <s v="https://open.spotify.com/track/3E7ZwUMJFqpsDOJzEkBrQ7"/>
    <x v="2"/>
    <s v="confiable"/>
    <s v="baja-ritmica (52%)"/>
    <x v="1"/>
    <n v="0.52"/>
    <s v="incrementable-decreciente"/>
    <n v="0.157"/>
    <n v="0.36299999999999999"/>
    <x v="1"/>
    <b v="0"/>
  </r>
  <r>
    <s v="The Strokes - The Adults Are Talking"/>
    <s v="indie-rock"/>
    <x v="0"/>
    <s v="https://open.spotify.com/track/5ruzrDWcT0vuJIOMW7gMnW"/>
    <x v="2"/>
    <s v="confiable"/>
    <s v="baja-ritmica (55%)"/>
    <x v="1"/>
    <n v="0.55400000000000005"/>
    <s v="alta-ritmica"/>
    <n v="0.184"/>
    <n v="0.37000000000000005"/>
    <x v="1"/>
    <b v="0"/>
  </r>
  <r>
    <s v="Lipps Inc. - Designer Music"/>
    <s v="disco"/>
    <x v="1"/>
    <s v="https://open.spotify.com/track/5aVvVMwfFwu5JSoMFZojDE"/>
    <x v="0"/>
    <s v="confiable"/>
    <s v="alta-ritmica (58%)"/>
    <x v="4"/>
    <n v="0.57499999999999996"/>
    <s v="alta-agresiva"/>
    <n v="0.20100000000000001"/>
    <n v="0.37399999999999994"/>
    <x v="1"/>
    <b v="0"/>
  </r>
  <r>
    <s v="Radiohead - No Surprises"/>
    <s v="disco"/>
    <x v="1"/>
    <s v="https://open.spotify.com/track/10nyNJ6zNy2YVYLrcwLccB"/>
    <x v="4"/>
    <s v="confiable"/>
    <s v="baja-contemplativa (61%)"/>
    <x v="3"/>
    <n v="0.61099999999999999"/>
    <s v="incrementable-decreciente"/>
    <n v="0.23499999999999999"/>
    <n v="0.376"/>
    <x v="1"/>
    <b v="0"/>
  </r>
  <r>
    <s v="Blondie - One Way Or Another"/>
    <s v="punk-rock"/>
    <x v="0"/>
    <s v="https://open.spotify.com/track/1gKmnrz6SzJlGMNRKBLx1V"/>
    <x v="3"/>
    <s v="confiable"/>
    <s v="alta-agresiva (55%)"/>
    <x v="2"/>
    <n v="0.55200000000000005"/>
    <s v="alta-ritmica"/>
    <n v="0.16900000000000001"/>
    <n v="0.38300000000000001"/>
    <x v="1"/>
    <b v="0"/>
  </r>
  <r>
    <s v="Lady Gaga - Americano"/>
    <s v="pop"/>
    <x v="1"/>
    <s v="https://open.spotify.com/track/1sRByD63uI8ZJAOSPDczXF"/>
    <x v="3"/>
    <s v="confiable"/>
    <s v="alta-agresiva (56%)"/>
    <x v="2"/>
    <n v="0.56100000000000005"/>
    <s v="baja-ritmica"/>
    <n v="0.16200000000000001"/>
    <n v="0.39900000000000002"/>
    <x v="1"/>
    <b v="0"/>
  </r>
  <r>
    <s v="Journey - Don't Stop Believin' (2022 Remaster)"/>
    <s v="arena-rock"/>
    <x v="0"/>
    <s v="https://open.spotify.com/track/5RKQ5NdjSh2QzD4MaunT91"/>
    <x v="1"/>
    <s v="confiable"/>
    <s v="incrementable-decreciente (57%)"/>
    <x v="0"/>
    <n v="0.56899999999999995"/>
    <s v="baja-ritmica"/>
    <n v="0.16200000000000001"/>
    <n v="0.40699999999999992"/>
    <x v="1"/>
    <b v="0"/>
  </r>
  <r>
    <s v="The Verve - Bitter Sweet Symphony - Remastered 2016"/>
    <s v="alternative-rock"/>
    <x v="0"/>
    <s v="https://open.spotify.com/track/57iDDD9N9tTWe75x6qhStw"/>
    <x v="0"/>
    <s v="confiable"/>
    <s v="incrementable-decreciente (58%)"/>
    <x v="0"/>
    <n v="0.57599999999999996"/>
    <s v="alta-ritmica"/>
    <n v="0.16800000000000001"/>
    <n v="0.40799999999999992"/>
    <x v="0"/>
    <b v="1"/>
  </r>
  <r>
    <s v="Frankie Valli - Can't Take My Eyes off You"/>
    <s v="traditional-pop"/>
    <x v="1"/>
    <s v="https://open.spotify.com/track/0bfvHnWWOeU1U5XeKyVLbW"/>
    <x v="1"/>
    <s v="confiable"/>
    <s v="incrementable-decreciente (57%)"/>
    <x v="0"/>
    <n v="0.56799999999999995"/>
    <s v="alta-ritmica"/>
    <n v="0.158"/>
    <n v="0.40999999999999992"/>
    <x v="1"/>
    <b v="0"/>
  </r>
  <r>
    <s v="Foreigner - I Want to Know What Love Is - 1999 Remaster"/>
    <s v="soft-rock"/>
    <x v="0"/>
    <s v="https://open.spotify.com/track/1JLn8RhQzHz3qDqsChcmBl"/>
    <x v="1"/>
    <s v="confiable"/>
    <s v="incrementable-decreciente (58%)"/>
    <x v="0"/>
    <n v="0.57899999999999996"/>
    <s v="baja-ritmica"/>
    <n v="0.16200000000000001"/>
    <n v="0.41699999999999993"/>
    <x v="1"/>
    <b v="0"/>
  </r>
  <r>
    <s v="Queen - Don't Stop Me Now - ...Revisited"/>
    <s v="classic-rock"/>
    <x v="0"/>
    <s v="https://open.spotify.com/track/3INsYP1Y8GG4qJvBsKCdXC"/>
    <x v="3"/>
    <s v="confiable"/>
    <s v="alta-agresiva (60%)"/>
    <x v="2"/>
    <n v="0.59799999999999998"/>
    <s v="alta-ritmica"/>
    <n v="0.17299999999999999"/>
    <n v="0.42499999999999999"/>
    <x v="1"/>
    <b v="0"/>
  </r>
  <r>
    <s v="My Chemical Romance - Teenagers"/>
    <s v="emo-rock"/>
    <x v="0"/>
    <s v="https://open.spotify.com/track/7j31rVgGX9Q2blT92VBEA0"/>
    <x v="3"/>
    <s v="confiable"/>
    <s v="alta-agresiva (59%)"/>
    <x v="2"/>
    <n v="0.58699999999999997"/>
    <s v="incrementable-decreciente"/>
    <n v="0.156"/>
    <n v="0.43099999999999994"/>
    <x v="1"/>
    <b v="0"/>
  </r>
  <r>
    <s v="System Of A Down - Chop Suey!"/>
    <s v="alternative-metal"/>
    <x v="1"/>
    <s v="https://open.spotify.com/track/2DlHlPMa4M17kufBvI2lEN"/>
    <x v="3"/>
    <s v="confiable"/>
    <s v="alta-agresiva (57%)"/>
    <x v="2"/>
    <n v="0.56899999999999995"/>
    <s v="incrementable-decreciente"/>
    <n v="0.13600000000000001"/>
    <n v="0.43299999999999994"/>
    <x v="1"/>
    <b v="0"/>
  </r>
  <r>
    <s v="Radiohead - Street Spirit (Fade Out)"/>
    <s v="alternative-rock"/>
    <x v="0"/>
    <s v="https://open.spotify.com/track/2QwObYJWyJTiozvs0RI7CF"/>
    <x v="4"/>
    <s v="confiable"/>
    <s v="baja-contemplativa (59%)"/>
    <x v="3"/>
    <n v="0.58799999999999997"/>
    <s v="incrementable-decreciente"/>
    <n v="0.153"/>
    <n v="0.43499999999999994"/>
    <x v="1"/>
    <b v="0"/>
  </r>
  <r>
    <s v="The Beatles - Michelle - Remastered 2009"/>
    <s v="folk-pop"/>
    <x v="1"/>
    <s v="https://open.spotify.com/track/5By7Pzgl6TMuVJG168VWzS"/>
    <x v="4"/>
    <s v="confiable"/>
    <s v="baja-contemplativa (62%)"/>
    <x v="3"/>
    <n v="0.624"/>
    <s v="baja-ritmica"/>
    <n v="0.17499999999999999"/>
    <n v="0.44900000000000001"/>
    <x v="1"/>
    <b v="0"/>
  </r>
  <r>
    <s v="Queen - Bohemian Rhapsody - Remastered 2011"/>
    <s v="progressive-rock"/>
    <x v="0"/>
    <s v="https://open.spotify.com/track/4u7EnebtmKWzUH433cf5Qv"/>
    <x v="1"/>
    <s v="confiable"/>
    <s v="incrementable-decreciente (60%)"/>
    <x v="0"/>
    <n v="0.59699999999999998"/>
    <s v="baja-ritmica"/>
    <n v="0.14499999999999999"/>
    <n v="0.45199999999999996"/>
    <x v="1"/>
    <b v="0"/>
  </r>
  <r>
    <s v="Jim Croce - Time in a Bottle"/>
    <s v="folk-rock"/>
    <x v="0"/>
    <s v="https://open.spotify.com/track/7uWFUpGuEfmxYeymkV95jn"/>
    <x v="4"/>
    <s v="confiable"/>
    <s v="baja-contemplativa (63%)"/>
    <x v="3"/>
    <n v="0.627"/>
    <s v="baja-ritmica"/>
    <n v="0.17299999999999999"/>
    <n v="0.45400000000000001"/>
    <x v="1"/>
    <b v="0"/>
  </r>
  <r>
    <s v="Barry Manilow - Can't Smile Without You"/>
    <s v="soft-rock"/>
    <x v="0"/>
    <s v="https://open.spotify.com/track/7qUTZEf6bgiApJEXpMAH5y"/>
    <x v="1"/>
    <s v="confiable"/>
    <s v="incrementable-decreciente (60%)"/>
    <x v="0"/>
    <n v="0.6"/>
    <s v="alta-agresiva"/>
    <n v="0.129"/>
    <n v="0.47099999999999997"/>
    <x v="1"/>
    <b v="0"/>
  </r>
  <r>
    <s v="System Of A Down - Lonely Day"/>
    <s v="alternative-rock"/>
    <x v="0"/>
    <s v="https://open.spotify.com/track/1VNWaY3uNfoeWqb5U8x2QX"/>
    <x v="1"/>
    <s v="confiable"/>
    <s v="incrementable-decreciente (60%)"/>
    <x v="0"/>
    <n v="0.60299999999999998"/>
    <s v="alta-ritmica"/>
    <n v="0.129"/>
    <n v="0.47399999999999998"/>
    <x v="1"/>
    <b v="0"/>
  </r>
  <r>
    <s v="Tally Hall - Hidden In the Sand"/>
    <s v="indie-pop"/>
    <x v="1"/>
    <s v="https://open.spotify.com/track/0RjG5JmdOWXAR68dGlKBA5"/>
    <x v="4"/>
    <s v="confiable"/>
    <s v="baja-contemplativa (63%)"/>
    <x v="3"/>
    <n v="0.625"/>
    <s v="baja-ritmica"/>
    <n v="0.13300000000000001"/>
    <n v="0.49199999999999999"/>
    <x v="1"/>
    <b v="0"/>
  </r>
  <r>
    <s v="Kansas - Dust in the Wind"/>
    <s v="progressive-rock"/>
    <x v="0"/>
    <s v="https://open.spotify.com/track/6zeE5tKyr8Nu882DQhhSQI"/>
    <x v="4"/>
    <s v="confiable"/>
    <s v="baja-contemplativa (72%)"/>
    <x v="3"/>
    <n v="0.72099999999999997"/>
    <s v="incrementable-decreciente"/>
    <n v="0.153"/>
    <n v="0.56799999999999995"/>
    <x v="1"/>
    <b v="0"/>
  </r>
  <r>
    <s v="The Beatles - Yesterday - Remastered 2009"/>
    <s v="folk-rock"/>
    <x v="0"/>
    <s v="https://open.spotify.com/track/3BQHpFgAp4l80e1XslIjNI"/>
    <x v="4"/>
    <s v="confiable"/>
    <s v="baja-contemplativa (78%)"/>
    <x v="3"/>
    <n v="0.78"/>
    <s v="baja-ritmica"/>
    <n v="8.1000000000000003E-2"/>
    <n v="0.69900000000000007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F21F0-1B0A-4256-9D71-47D4B1B9A51A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D17" firstHeaderRow="1" firstDataRow="2" firstDataCol="2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2"/>
        <item x="3"/>
        <item x="4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sortType="descending" defaultSubtotal="0">
      <items count="5">
        <item h="1" x="2"/>
        <item h="1" x="3"/>
        <item x="1"/>
        <item h="1" x="4"/>
        <item h="1" x="0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9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3">
        <item x="30"/>
        <item x="92"/>
        <item x="100"/>
        <item x="79"/>
        <item x="80"/>
        <item x="95"/>
        <item x="94"/>
        <item x="98"/>
        <item x="62"/>
        <item x="5"/>
        <item x="63"/>
        <item x="69"/>
        <item x="31"/>
        <item x="39"/>
        <item x="17"/>
        <item x="1"/>
        <item x="7"/>
        <item x="72"/>
        <item x="89"/>
        <item x="45"/>
        <item x="18"/>
        <item x="48"/>
        <item x="43"/>
        <item x="73"/>
        <item x="53"/>
        <item x="99"/>
        <item x="22"/>
        <item x="90"/>
        <item x="37"/>
        <item x="29"/>
        <item x="24"/>
        <item x="10"/>
        <item x="57"/>
        <item x="97"/>
        <item x="9"/>
        <item x="88"/>
        <item x="41"/>
        <item x="75"/>
        <item x="61"/>
        <item x="25"/>
        <item x="56"/>
        <item x="91"/>
        <item x="13"/>
        <item x="64"/>
        <item x="86"/>
        <item x="34"/>
        <item x="19"/>
        <item x="21"/>
        <item x="35"/>
        <item x="82"/>
        <item x="58"/>
        <item x="4"/>
        <item x="14"/>
        <item x="84"/>
        <item x="59"/>
        <item x="70"/>
        <item x="46"/>
        <item x="11"/>
        <item x="60"/>
        <item x="78"/>
        <item x="20"/>
        <item x="36"/>
        <item x="26"/>
        <item x="16"/>
        <item x="3"/>
        <item x="6"/>
        <item x="50"/>
        <item x="23"/>
        <item x="40"/>
        <item x="67"/>
        <item x="96"/>
        <item x="47"/>
        <item x="76"/>
        <item x="93"/>
        <item x="32"/>
        <item x="49"/>
        <item x="81"/>
        <item x="15"/>
        <item x="52"/>
        <item x="2"/>
        <item x="101"/>
        <item x="71"/>
        <item x="28"/>
        <item x="51"/>
        <item x="8"/>
        <item x="87"/>
        <item x="27"/>
        <item x="44"/>
        <item x="55"/>
        <item x="102"/>
        <item x="33"/>
        <item x="54"/>
        <item x="12"/>
        <item x="66"/>
        <item x="65"/>
        <item x="0"/>
        <item x="77"/>
        <item x="68"/>
        <item x="85"/>
        <item x="74"/>
        <item x="38"/>
        <item x="42"/>
        <item x="8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x="0"/>
        <item x="2"/>
        <item x="4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13">
    <i>
      <x/>
      <x/>
    </i>
    <i r="1">
      <x v="1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 v="1"/>
    </i>
    <i r="1">
      <x v="2"/>
    </i>
    <i r="1">
      <x v="3"/>
    </i>
    <i r="1">
      <x v="4"/>
    </i>
  </rowItems>
  <colFields count="1">
    <field x="9"/>
  </colFields>
  <colItems count="2">
    <i>
      <x/>
    </i>
    <i>
      <x v="1"/>
    </i>
  </colItems>
  <dataFields count="1">
    <dataField name="Count of top1_categori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3CA37-B7BB-487D-959C-32D9A2D438FD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D22" firstHeaderRow="1" firstDataRow="2" firstDataCol="1" rowPageCount="1" colPageCount="1"/>
  <pivotFields count="14"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axis="axisRow" dataField="1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>
      <items count="6">
        <item x="2"/>
        <item x="4"/>
        <item x="3"/>
        <item x="1"/>
        <item x="0"/>
        <item t="default"/>
      </items>
    </pivotField>
    <pivotField numFmtId="9" showAll="0"/>
    <pivotField showAll="0"/>
    <pivotField numFmtId="9" showAll="0"/>
    <pivotField numFmtId="9" showAll="0"/>
    <pivotField axis="axisCol" showAll="0">
      <items count="3">
        <item x="0"/>
        <item x="1"/>
        <item t="default"/>
      </items>
    </pivotField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categoria_humano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E5EED-AD0C-424F-9948-9E8A5E759C7F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14"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axis="axisCol" dataField="1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numFmtId="9" showAll="0"/>
    <pivotField showAll="0"/>
    <pivotField numFmtId="9" showAll="0"/>
    <pivotField numFmtId="9" showAll="0"/>
    <pivotField showAll="0">
      <items count="3">
        <item x="0"/>
        <item x="1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2" item="1" hier="-1"/>
  </pageFields>
  <dataFields count="1">
    <dataField name="Count of categoria_humano" fld="4" subtotal="count" baseField="0" baseItem="0"/>
  </dataFields>
  <formats count="5">
    <format dxfId="4">
      <pivotArea collapsedLevelsAreSubtotals="1" fieldPosition="0">
        <references count="2">
          <reference field="4" count="1" selected="0">
            <x v="0"/>
          </reference>
          <reference field="7" count="1">
            <x v="0"/>
          </reference>
        </references>
      </pivotArea>
    </format>
    <format dxfId="3">
      <pivotArea collapsedLevelsAreSubtotals="1" fieldPosition="0">
        <references count="2">
          <reference field="4" count="1" selected="0">
            <x v="1"/>
          </reference>
          <reference field="7" count="1">
            <x v="1"/>
          </reference>
        </references>
      </pivotArea>
    </format>
    <format dxfId="2">
      <pivotArea collapsedLevelsAreSubtotals="1" fieldPosition="0">
        <references count="2">
          <reference field="4" count="1" selected="0">
            <x v="2"/>
          </reference>
          <reference field="7" count="1">
            <x v="2"/>
          </reference>
        </references>
      </pivotArea>
    </format>
    <format dxfId="1">
      <pivotArea collapsedLevelsAreSubtotals="1" fieldPosition="0">
        <references count="2">
          <reference field="4" count="1" selected="0">
            <x v="3"/>
          </reference>
          <reference field="7" count="1">
            <x v="3"/>
          </reference>
        </references>
      </pivotArea>
    </format>
    <format dxfId="0">
      <pivotArea collapsedLevelsAreSubtotals="1" fieldPosition="0">
        <references count="2">
          <reference field="4" count="1" selected="0">
            <x v="4"/>
          </reference>
          <reference field="7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1E45-8CE0-42EB-9CE0-7553682905FE}">
  <dimension ref="A3:E17"/>
  <sheetViews>
    <sheetView zoomScale="130" zoomScaleNormal="130" workbookViewId="0">
      <selection activeCell="A3" sqref="A3:E17"/>
    </sheetView>
  </sheetViews>
  <sheetFormatPr defaultRowHeight="15" x14ac:dyDescent="0.25"/>
  <cols>
    <col min="1" max="1" width="22.85546875" bestFit="1" customWidth="1"/>
    <col min="2" max="2" width="25" bestFit="1" customWidth="1"/>
    <col min="3" max="3" width="23.7109375" bestFit="1" customWidth="1"/>
    <col min="4" max="4" width="8" bestFit="1" customWidth="1"/>
    <col min="5" max="6" width="5.7109375" bestFit="1" customWidth="1"/>
  </cols>
  <sheetData>
    <row r="3" spans="1:5" x14ac:dyDescent="0.25">
      <c r="A3" s="2" t="s">
        <v>350</v>
      </c>
      <c r="C3" s="2" t="s">
        <v>9</v>
      </c>
    </row>
    <row r="4" spans="1:5" x14ac:dyDescent="0.25">
      <c r="A4" s="2" t="s">
        <v>3</v>
      </c>
      <c r="B4" s="2" t="s">
        <v>2</v>
      </c>
      <c r="C4" t="s">
        <v>351</v>
      </c>
      <c r="D4" t="s">
        <v>352</v>
      </c>
    </row>
    <row r="5" spans="1:5" x14ac:dyDescent="0.25">
      <c r="A5" t="s">
        <v>19</v>
      </c>
      <c r="B5" t="s">
        <v>15</v>
      </c>
      <c r="D5">
        <v>1</v>
      </c>
      <c r="E5" s="3">
        <f>1-(C5/(SUM(C5,D5)))</f>
        <v>1</v>
      </c>
    </row>
    <row r="6" spans="1:5" x14ac:dyDescent="0.25">
      <c r="A6" t="s">
        <v>19</v>
      </c>
      <c r="B6" t="s">
        <v>25</v>
      </c>
      <c r="C6">
        <v>7</v>
      </c>
      <c r="D6">
        <v>6</v>
      </c>
      <c r="E6" s="3">
        <f t="shared" ref="E6:E17" si="0">1-(C6/(SUM(C6,D6)))</f>
        <v>0.46153846153846156</v>
      </c>
    </row>
    <row r="7" spans="1:5" x14ac:dyDescent="0.25">
      <c r="A7" t="s">
        <v>19</v>
      </c>
      <c r="B7" t="s">
        <v>18</v>
      </c>
      <c r="C7">
        <v>8</v>
      </c>
      <c r="D7">
        <v>5</v>
      </c>
      <c r="E7" s="6">
        <f t="shared" si="0"/>
        <v>0.38461538461538458</v>
      </c>
    </row>
    <row r="8" spans="1:5" x14ac:dyDescent="0.25">
      <c r="A8" t="s">
        <v>19</v>
      </c>
      <c r="B8" t="s">
        <v>12</v>
      </c>
      <c r="C8">
        <v>2</v>
      </c>
      <c r="D8">
        <v>5</v>
      </c>
      <c r="E8" s="3">
        <f t="shared" si="0"/>
        <v>0.7142857142857143</v>
      </c>
    </row>
    <row r="9" spans="1:5" x14ac:dyDescent="0.25">
      <c r="A9" t="s">
        <v>13</v>
      </c>
      <c r="B9" t="s">
        <v>15</v>
      </c>
      <c r="D9">
        <v>9</v>
      </c>
      <c r="E9" s="3">
        <f t="shared" si="0"/>
        <v>1</v>
      </c>
    </row>
    <row r="10" spans="1:5" x14ac:dyDescent="0.25">
      <c r="A10" t="s">
        <v>13</v>
      </c>
      <c r="B10" t="s">
        <v>25</v>
      </c>
      <c r="C10">
        <v>1</v>
      </c>
      <c r="D10">
        <v>11</v>
      </c>
      <c r="E10" s="3">
        <f t="shared" si="0"/>
        <v>0.91666666666666663</v>
      </c>
    </row>
    <row r="11" spans="1:5" x14ac:dyDescent="0.25">
      <c r="A11" t="s">
        <v>13</v>
      </c>
      <c r="B11" t="s">
        <v>21</v>
      </c>
      <c r="D11">
        <v>9</v>
      </c>
      <c r="E11" s="3">
        <f t="shared" si="0"/>
        <v>1</v>
      </c>
    </row>
    <row r="12" spans="1:5" x14ac:dyDescent="0.25">
      <c r="A12" t="s">
        <v>13</v>
      </c>
      <c r="B12" t="s">
        <v>18</v>
      </c>
      <c r="C12">
        <v>4</v>
      </c>
      <c r="D12">
        <v>5</v>
      </c>
      <c r="E12" s="6">
        <f t="shared" si="0"/>
        <v>0.55555555555555558</v>
      </c>
    </row>
    <row r="13" spans="1:5" x14ac:dyDescent="0.25">
      <c r="A13" t="s">
        <v>13</v>
      </c>
      <c r="B13" t="s">
        <v>12</v>
      </c>
      <c r="C13">
        <v>3</v>
      </c>
      <c r="D13">
        <v>12</v>
      </c>
      <c r="E13" s="3">
        <f t="shared" si="0"/>
        <v>0.8</v>
      </c>
    </row>
    <row r="14" spans="1:5" x14ac:dyDescent="0.25">
      <c r="A14" t="s">
        <v>31</v>
      </c>
      <c r="B14" t="s">
        <v>25</v>
      </c>
      <c r="C14">
        <v>2</v>
      </c>
      <c r="D14">
        <v>9</v>
      </c>
      <c r="E14" s="3">
        <f t="shared" si="0"/>
        <v>0.81818181818181812</v>
      </c>
    </row>
    <row r="15" spans="1:5" x14ac:dyDescent="0.25">
      <c r="A15" t="s">
        <v>31</v>
      </c>
      <c r="B15" t="s">
        <v>21</v>
      </c>
      <c r="D15">
        <v>2</v>
      </c>
      <c r="E15" s="3">
        <f t="shared" si="0"/>
        <v>1</v>
      </c>
    </row>
    <row r="16" spans="1:5" x14ac:dyDescent="0.25">
      <c r="A16" t="s">
        <v>31</v>
      </c>
      <c r="B16" t="s">
        <v>18</v>
      </c>
      <c r="C16">
        <v>4</v>
      </c>
      <c r="D16">
        <v>8</v>
      </c>
      <c r="E16" s="6">
        <f t="shared" si="0"/>
        <v>0.66666666666666674</v>
      </c>
    </row>
    <row r="17" spans="1:5" x14ac:dyDescent="0.25">
      <c r="A17" t="s">
        <v>31</v>
      </c>
      <c r="B17" t="s">
        <v>12</v>
      </c>
      <c r="D17">
        <v>6</v>
      </c>
      <c r="E17" s="3">
        <f t="shared" si="0"/>
        <v>1</v>
      </c>
    </row>
  </sheetData>
  <autoFilter ref="A4:E17" xr:uid="{14CE1E45-8CE0-42EB-9CE0-7553682905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7DE6-E317-43CB-BB8A-09A9B7772F87}">
  <dimension ref="A1:G22"/>
  <sheetViews>
    <sheetView zoomScale="85" zoomScaleNormal="85" workbookViewId="0">
      <selection activeCell="J10" sqref="J10"/>
    </sheetView>
  </sheetViews>
  <sheetFormatPr defaultRowHeight="15" x14ac:dyDescent="0.25"/>
  <cols>
    <col min="1" max="1" width="26.28515625" bestFit="1" customWidth="1"/>
    <col min="2" max="2" width="16.85546875" bestFit="1" customWidth="1"/>
    <col min="3" max="3" width="5.7109375" bestFit="1" customWidth="1"/>
    <col min="4" max="4" width="11.28515625" bestFit="1" customWidth="1"/>
    <col min="5" max="5" width="11.7109375" bestFit="1" customWidth="1"/>
    <col min="6" max="6" width="26.28515625" bestFit="1" customWidth="1"/>
    <col min="7" max="7" width="11.28515625" bestFit="1" customWidth="1"/>
    <col min="8" max="8" width="23.5703125" bestFit="1" customWidth="1"/>
    <col min="9" max="9" width="13.5703125" bestFit="1" customWidth="1"/>
    <col min="10" max="10" width="5.7109375" bestFit="1" customWidth="1"/>
    <col min="11" max="11" width="16.7109375" bestFit="1" customWidth="1"/>
    <col min="12" max="12" width="28.140625" bestFit="1" customWidth="1"/>
    <col min="13" max="13" width="5.7109375" bestFit="1" customWidth="1"/>
    <col min="14" max="14" width="31.28515625" bestFit="1" customWidth="1"/>
    <col min="15" max="15" width="11.28515625" bestFit="1" customWidth="1"/>
  </cols>
  <sheetData>
    <row r="1" spans="1:7" x14ac:dyDescent="0.25">
      <c r="A1" s="2" t="s">
        <v>395</v>
      </c>
      <c r="B1" t="s">
        <v>352</v>
      </c>
    </row>
    <row r="3" spans="1:7" x14ac:dyDescent="0.25">
      <c r="A3" s="2" t="s">
        <v>393</v>
      </c>
      <c r="B3" s="2" t="s">
        <v>392</v>
      </c>
    </row>
    <row r="4" spans="1:7" x14ac:dyDescent="0.25">
      <c r="A4" s="2" t="s">
        <v>390</v>
      </c>
      <c r="B4" t="s">
        <v>15</v>
      </c>
      <c r="C4" t="s">
        <v>25</v>
      </c>
      <c r="D4" t="s">
        <v>21</v>
      </c>
      <c r="E4" t="s">
        <v>18</v>
      </c>
      <c r="F4" t="s">
        <v>12</v>
      </c>
      <c r="G4" t="s">
        <v>391</v>
      </c>
    </row>
    <row r="5" spans="1:7" x14ac:dyDescent="0.25">
      <c r="A5" s="7" t="s">
        <v>15</v>
      </c>
      <c r="B5" s="9">
        <v>6</v>
      </c>
      <c r="C5" s="8">
        <v>3</v>
      </c>
      <c r="D5" s="8"/>
      <c r="E5" s="8"/>
      <c r="F5" s="8">
        <v>1</v>
      </c>
      <c r="G5" s="8">
        <v>10</v>
      </c>
    </row>
    <row r="6" spans="1:7" x14ac:dyDescent="0.25">
      <c r="A6" s="7" t="s">
        <v>25</v>
      </c>
      <c r="B6" s="8"/>
      <c r="C6" s="9">
        <v>13</v>
      </c>
      <c r="D6" s="8"/>
      <c r="E6" s="8">
        <v>2</v>
      </c>
      <c r="F6" s="8"/>
      <c r="G6" s="8">
        <v>15</v>
      </c>
    </row>
    <row r="7" spans="1:7" x14ac:dyDescent="0.25">
      <c r="A7" s="7" t="s">
        <v>21</v>
      </c>
      <c r="B7" s="8"/>
      <c r="C7" s="8">
        <v>1</v>
      </c>
      <c r="D7" s="9">
        <v>6</v>
      </c>
      <c r="E7" s="8">
        <v>2</v>
      </c>
      <c r="F7" s="8">
        <v>1</v>
      </c>
      <c r="G7" s="8">
        <v>10</v>
      </c>
    </row>
    <row r="8" spans="1:7" x14ac:dyDescent="0.25">
      <c r="A8" s="7" t="s">
        <v>18</v>
      </c>
      <c r="B8" s="8"/>
      <c r="C8" s="8">
        <v>1</v>
      </c>
      <c r="D8" s="8"/>
      <c r="E8" s="9">
        <v>11</v>
      </c>
      <c r="F8" s="8"/>
      <c r="G8" s="8">
        <v>12</v>
      </c>
    </row>
    <row r="9" spans="1:7" x14ac:dyDescent="0.25">
      <c r="A9" s="7" t="s">
        <v>12</v>
      </c>
      <c r="B9" s="8"/>
      <c r="C9" s="8">
        <v>4</v>
      </c>
      <c r="D9" s="8"/>
      <c r="E9" s="8">
        <v>3</v>
      </c>
      <c r="F9" s="9">
        <v>18</v>
      </c>
      <c r="G9" s="8">
        <v>25</v>
      </c>
    </row>
    <row r="10" spans="1:7" x14ac:dyDescent="0.25">
      <c r="A10" s="7" t="s">
        <v>391</v>
      </c>
      <c r="B10" s="8">
        <v>6</v>
      </c>
      <c r="C10" s="8">
        <v>22</v>
      </c>
      <c r="D10" s="8">
        <v>6</v>
      </c>
      <c r="E10" s="8">
        <v>18</v>
      </c>
      <c r="F10" s="8">
        <v>20</v>
      </c>
      <c r="G10" s="8">
        <v>72</v>
      </c>
    </row>
    <row r="13" spans="1:7" x14ac:dyDescent="0.25">
      <c r="A13" s="2" t="s">
        <v>395</v>
      </c>
      <c r="B13" t="s">
        <v>352</v>
      </c>
    </row>
    <row r="15" spans="1:7" x14ac:dyDescent="0.25">
      <c r="A15" s="2" t="s">
        <v>393</v>
      </c>
      <c r="B15" s="2" t="s">
        <v>392</v>
      </c>
    </row>
    <row r="16" spans="1:7" x14ac:dyDescent="0.25">
      <c r="A16" s="2" t="s">
        <v>390</v>
      </c>
      <c r="B16" t="s">
        <v>351</v>
      </c>
      <c r="C16" t="s">
        <v>352</v>
      </c>
      <c r="D16" t="s">
        <v>391</v>
      </c>
    </row>
    <row r="17" spans="1:5" x14ac:dyDescent="0.25">
      <c r="A17" s="7" t="s">
        <v>15</v>
      </c>
      <c r="B17" s="8"/>
      <c r="C17" s="8">
        <v>6</v>
      </c>
      <c r="D17" s="8">
        <v>6</v>
      </c>
    </row>
    <row r="18" spans="1:5" x14ac:dyDescent="0.25">
      <c r="A18" s="7" t="s">
        <v>25</v>
      </c>
      <c r="B18" s="8">
        <v>9</v>
      </c>
      <c r="C18" s="8">
        <v>13</v>
      </c>
      <c r="D18" s="8">
        <v>22</v>
      </c>
    </row>
    <row r="19" spans="1:5" x14ac:dyDescent="0.25">
      <c r="A19" s="7" t="s">
        <v>21</v>
      </c>
      <c r="B19" s="8"/>
      <c r="C19" s="8">
        <v>6</v>
      </c>
      <c r="D19" s="8">
        <v>6</v>
      </c>
    </row>
    <row r="20" spans="1:5" x14ac:dyDescent="0.25">
      <c r="A20" s="7" t="s">
        <v>18</v>
      </c>
      <c r="B20" s="8">
        <v>7</v>
      </c>
      <c r="C20" s="8">
        <v>11</v>
      </c>
      <c r="D20" s="8">
        <v>18</v>
      </c>
    </row>
    <row r="21" spans="1:5" x14ac:dyDescent="0.25">
      <c r="A21" s="7" t="s">
        <v>12</v>
      </c>
      <c r="B21" s="8">
        <v>2</v>
      </c>
      <c r="C21" s="8">
        <v>18</v>
      </c>
      <c r="D21" s="8">
        <v>20</v>
      </c>
    </row>
    <row r="22" spans="1:5" x14ac:dyDescent="0.25">
      <c r="A22" s="7" t="s">
        <v>391</v>
      </c>
      <c r="B22" s="8">
        <v>18</v>
      </c>
      <c r="C22" s="8">
        <v>54</v>
      </c>
      <c r="D22" s="8">
        <v>72</v>
      </c>
      <c r="E22">
        <f>+GETPIVOTDATA("categoria_humano",$A$15,"coincide_con_humano",TRUE)/GETPIVOTDATA("categoria_humano",$A$15)</f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91E9E-76FA-41B4-8548-28F2E892EEA5}">
  <dimension ref="A1:N120"/>
  <sheetViews>
    <sheetView tabSelected="1" workbookViewId="0"/>
  </sheetViews>
  <sheetFormatPr defaultRowHeight="15" x14ac:dyDescent="0.25"/>
  <cols>
    <col min="1" max="1" width="80.5703125" bestFit="1" customWidth="1"/>
    <col min="2" max="2" width="17" bestFit="1" customWidth="1"/>
    <col min="3" max="3" width="17" customWidth="1"/>
    <col min="4" max="4" width="56.28515625" bestFit="1" customWidth="1"/>
    <col min="5" max="5" width="25" bestFit="1" customWidth="1"/>
    <col min="6" max="6" width="9.7109375" bestFit="1" customWidth="1"/>
    <col min="7" max="7" width="69.85546875" bestFit="1" customWidth="1"/>
    <col min="8" max="8" width="25" bestFit="1" customWidth="1"/>
    <col min="9" max="9" width="9.85546875" bestFit="1" customWidth="1"/>
    <col min="10" max="10" width="25" bestFit="1" customWidth="1"/>
    <col min="11" max="11" width="9.85546875" bestFit="1" customWidth="1"/>
    <col min="12" max="12" width="9.85546875" customWidth="1"/>
    <col min="13" max="13" width="21.42578125" bestFit="1" customWidth="1"/>
  </cols>
  <sheetData>
    <row r="1" spans="1:14" x14ac:dyDescent="0.25">
      <c r="A1" t="s">
        <v>0</v>
      </c>
      <c r="B1" t="s">
        <v>394</v>
      </c>
      <c r="C1" t="s">
        <v>395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t="s">
        <v>6</v>
      </c>
      <c r="J1" s="1" t="s">
        <v>7</v>
      </c>
      <c r="K1" t="s">
        <v>8</v>
      </c>
      <c r="L1" s="1" t="s">
        <v>353</v>
      </c>
      <c r="M1" t="s">
        <v>9</v>
      </c>
      <c r="N1" s="1" t="s">
        <v>31</v>
      </c>
    </row>
    <row r="2" spans="1:14" x14ac:dyDescent="0.25">
      <c r="A2" t="s">
        <v>45</v>
      </c>
      <c r="B2" t="s">
        <v>359</v>
      </c>
      <c r="C2" s="4" t="b">
        <v>0</v>
      </c>
      <c r="D2" t="s">
        <v>46</v>
      </c>
      <c r="E2" t="s">
        <v>25</v>
      </c>
      <c r="F2" t="s">
        <v>31</v>
      </c>
      <c r="G2" t="s">
        <v>47</v>
      </c>
      <c r="H2" t="s">
        <v>25</v>
      </c>
      <c r="I2" s="3">
        <v>0.39700000000000002</v>
      </c>
      <c r="J2" t="s">
        <v>18</v>
      </c>
      <c r="K2" s="3">
        <v>0.27</v>
      </c>
      <c r="L2" s="3">
        <f>+ABS(K2-I2)</f>
        <v>0.127</v>
      </c>
      <c r="M2" t="b">
        <v>1</v>
      </c>
      <c r="N2" t="b">
        <v>0</v>
      </c>
    </row>
    <row r="3" spans="1:14" x14ac:dyDescent="0.25">
      <c r="A3" t="s">
        <v>26</v>
      </c>
      <c r="B3" t="s">
        <v>380</v>
      </c>
      <c r="C3" s="4" t="b">
        <v>0</v>
      </c>
      <c r="D3" t="s">
        <v>27</v>
      </c>
      <c r="E3" t="s">
        <v>18</v>
      </c>
      <c r="F3" t="s">
        <v>13</v>
      </c>
      <c r="G3" t="s">
        <v>28</v>
      </c>
      <c r="H3" t="s">
        <v>25</v>
      </c>
      <c r="I3" s="3">
        <v>0.48199999999999998</v>
      </c>
      <c r="J3" t="s">
        <v>18</v>
      </c>
      <c r="K3" s="3">
        <v>0.253</v>
      </c>
      <c r="L3" s="3">
        <f>+ABS(K3-I3)</f>
        <v>0.22899999999999998</v>
      </c>
      <c r="M3" t="b">
        <v>0</v>
      </c>
      <c r="N3" t="b">
        <v>0</v>
      </c>
    </row>
    <row r="4" spans="1:14" x14ac:dyDescent="0.25">
      <c r="A4" s="4" t="s">
        <v>39</v>
      </c>
      <c r="B4" s="4" t="s">
        <v>355</v>
      </c>
      <c r="C4" s="4" t="b">
        <v>0</v>
      </c>
      <c r="D4" s="4" t="s">
        <v>40</v>
      </c>
      <c r="E4" s="4" t="s">
        <v>18</v>
      </c>
      <c r="F4" s="4" t="s">
        <v>19</v>
      </c>
      <c r="G4" s="4" t="s">
        <v>41</v>
      </c>
      <c r="H4" s="4" t="s">
        <v>25</v>
      </c>
      <c r="I4" s="5">
        <v>0.33900000000000002</v>
      </c>
      <c r="J4" s="4" t="s">
        <v>18</v>
      </c>
      <c r="K4" s="5">
        <v>0.27800000000000002</v>
      </c>
      <c r="L4" s="5">
        <f>+ABS(K4-I4)</f>
        <v>6.0999999999999999E-2</v>
      </c>
      <c r="M4" s="4" t="b">
        <v>0</v>
      </c>
      <c r="N4" t="b">
        <v>1</v>
      </c>
    </row>
    <row r="5" spans="1:14" x14ac:dyDescent="0.25">
      <c r="A5" t="s">
        <v>51</v>
      </c>
      <c r="B5" t="s">
        <v>376</v>
      </c>
      <c r="C5" s="4" t="b">
        <v>0</v>
      </c>
      <c r="D5" t="s">
        <v>52</v>
      </c>
      <c r="E5" t="s">
        <v>12</v>
      </c>
      <c r="F5" t="s">
        <v>13</v>
      </c>
      <c r="G5" t="s">
        <v>53</v>
      </c>
      <c r="H5" t="s">
        <v>12</v>
      </c>
      <c r="I5" s="3">
        <v>0.46100000000000002</v>
      </c>
      <c r="J5" t="s">
        <v>21</v>
      </c>
      <c r="K5" s="3">
        <v>0.315</v>
      </c>
      <c r="L5" s="3">
        <f>+ABS(K5-I5)</f>
        <v>0.14600000000000002</v>
      </c>
      <c r="M5" t="b">
        <v>1</v>
      </c>
      <c r="N5" t="b">
        <v>0</v>
      </c>
    </row>
    <row r="6" spans="1:14" x14ac:dyDescent="0.25">
      <c r="A6" t="s">
        <v>48</v>
      </c>
      <c r="B6" t="s">
        <v>354</v>
      </c>
      <c r="C6" s="4" t="b">
        <v>0</v>
      </c>
      <c r="D6" t="s">
        <v>49</v>
      </c>
      <c r="E6" t="s">
        <v>25</v>
      </c>
      <c r="F6" t="s">
        <v>19</v>
      </c>
      <c r="G6" t="s">
        <v>50</v>
      </c>
      <c r="H6" t="s">
        <v>25</v>
      </c>
      <c r="I6" s="3">
        <v>0.38600000000000001</v>
      </c>
      <c r="J6" t="s">
        <v>18</v>
      </c>
      <c r="K6" s="3">
        <v>0.32800000000000001</v>
      </c>
      <c r="L6" s="3">
        <f>+ABS(K6-I6)</f>
        <v>5.7999999999999996E-2</v>
      </c>
      <c r="M6" t="b">
        <v>1</v>
      </c>
      <c r="N6" t="b">
        <v>0</v>
      </c>
    </row>
    <row r="7" spans="1:14" x14ac:dyDescent="0.25">
      <c r="A7" t="s">
        <v>36</v>
      </c>
      <c r="B7" t="s">
        <v>369</v>
      </c>
      <c r="C7" s="4" t="b">
        <v>1</v>
      </c>
      <c r="D7" t="s">
        <v>37</v>
      </c>
      <c r="E7" t="s">
        <v>18</v>
      </c>
      <c r="F7" t="s">
        <v>13</v>
      </c>
      <c r="G7" t="s">
        <v>38</v>
      </c>
      <c r="H7" t="s">
        <v>18</v>
      </c>
      <c r="I7" s="3">
        <v>0.48299999999999998</v>
      </c>
      <c r="J7" t="s">
        <v>21</v>
      </c>
      <c r="K7" s="3">
        <v>0.21199999999999999</v>
      </c>
      <c r="L7" s="3">
        <f>+ABS(K7-I7)</f>
        <v>0.27100000000000002</v>
      </c>
      <c r="M7" t="b">
        <v>1</v>
      </c>
      <c r="N7" t="b">
        <v>0</v>
      </c>
    </row>
    <row r="8" spans="1:14" x14ac:dyDescent="0.25">
      <c r="A8" t="s">
        <v>10</v>
      </c>
      <c r="B8" t="s">
        <v>364</v>
      </c>
      <c r="C8" s="4" t="b">
        <v>1</v>
      </c>
      <c r="D8" t="s">
        <v>11</v>
      </c>
      <c r="E8" t="s">
        <v>12</v>
      </c>
      <c r="F8" t="s">
        <v>13</v>
      </c>
      <c r="G8" t="s">
        <v>14</v>
      </c>
      <c r="H8" t="s">
        <v>12</v>
      </c>
      <c r="I8" s="3">
        <v>0.6</v>
      </c>
      <c r="J8" t="s">
        <v>15</v>
      </c>
      <c r="K8" s="3">
        <v>0.129</v>
      </c>
      <c r="L8" s="3">
        <f>+ABS(K8-I8)</f>
        <v>0.47099999999999997</v>
      </c>
      <c r="M8" t="b">
        <v>1</v>
      </c>
      <c r="N8" t="b">
        <v>0</v>
      </c>
    </row>
    <row r="9" spans="1:14" x14ac:dyDescent="0.25">
      <c r="A9" t="s">
        <v>54</v>
      </c>
      <c r="B9" t="s">
        <v>361</v>
      </c>
      <c r="C9" s="4" t="b">
        <v>0</v>
      </c>
      <c r="D9" t="s">
        <v>55</v>
      </c>
      <c r="E9" t="s">
        <v>21</v>
      </c>
      <c r="F9" t="s">
        <v>13</v>
      </c>
      <c r="G9" t="s">
        <v>56</v>
      </c>
      <c r="H9" t="s">
        <v>21</v>
      </c>
      <c r="I9" s="3">
        <v>0.58799999999999997</v>
      </c>
      <c r="J9" t="s">
        <v>12</v>
      </c>
      <c r="K9" s="3">
        <v>0.23499999999999999</v>
      </c>
      <c r="L9" s="3">
        <f>+ABS(K9-I9)</f>
        <v>0.35299999999999998</v>
      </c>
      <c r="M9" t="b">
        <v>1</v>
      </c>
      <c r="N9" t="b">
        <v>0</v>
      </c>
    </row>
    <row r="10" spans="1:14" x14ac:dyDescent="0.25">
      <c r="A10" t="s">
        <v>42</v>
      </c>
      <c r="B10" t="s">
        <v>359</v>
      </c>
      <c r="C10" s="4" t="b">
        <v>0</v>
      </c>
      <c r="D10" t="s">
        <v>43</v>
      </c>
      <c r="E10" t="s">
        <v>25</v>
      </c>
      <c r="F10" t="s">
        <v>13</v>
      </c>
      <c r="G10" t="s">
        <v>44</v>
      </c>
      <c r="H10" t="s">
        <v>25</v>
      </c>
      <c r="I10" s="3">
        <v>0.56299999999999994</v>
      </c>
      <c r="J10" t="s">
        <v>15</v>
      </c>
      <c r="K10" s="3">
        <v>0.219</v>
      </c>
      <c r="L10" s="3">
        <f>+ABS(K10-I10)</f>
        <v>0.34399999999999997</v>
      </c>
      <c r="M10" t="b">
        <v>1</v>
      </c>
      <c r="N10" t="b">
        <v>0</v>
      </c>
    </row>
    <row r="11" spans="1:14" x14ac:dyDescent="0.25">
      <c r="A11" t="s">
        <v>57</v>
      </c>
      <c r="B11" t="s">
        <v>356</v>
      </c>
      <c r="C11" s="4" t="b">
        <v>1</v>
      </c>
      <c r="D11" t="s">
        <v>58</v>
      </c>
      <c r="E11" t="s">
        <v>25</v>
      </c>
      <c r="F11" t="s">
        <v>31</v>
      </c>
      <c r="G11" t="s">
        <v>59</v>
      </c>
      <c r="H11" t="s">
        <v>25</v>
      </c>
      <c r="I11" s="3">
        <v>0.42099999999999999</v>
      </c>
      <c r="J11" t="s">
        <v>15</v>
      </c>
      <c r="K11" s="3">
        <v>0.29099999999999998</v>
      </c>
      <c r="L11" s="3">
        <f>+ABS(K11-I11)</f>
        <v>0.13</v>
      </c>
      <c r="M11" t="b">
        <v>1</v>
      </c>
      <c r="N11" t="b">
        <v>0</v>
      </c>
    </row>
    <row r="12" spans="1:14" x14ac:dyDescent="0.25">
      <c r="A12" s="4" t="s">
        <v>16</v>
      </c>
      <c r="B12" s="4" t="s">
        <v>389</v>
      </c>
      <c r="C12" s="4" t="b">
        <v>0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5">
        <v>0.33200000000000002</v>
      </c>
      <c r="J12" s="4" t="s">
        <v>18</v>
      </c>
      <c r="K12" s="5">
        <v>0.30199999999999999</v>
      </c>
      <c r="L12" s="5">
        <f>+ABS(K12-I12)</f>
        <v>3.0000000000000027E-2</v>
      </c>
      <c r="M12" s="4" t="b">
        <v>0</v>
      </c>
      <c r="N12" t="b">
        <v>1</v>
      </c>
    </row>
    <row r="13" spans="1:14" x14ac:dyDescent="0.25">
      <c r="A13" t="s">
        <v>60</v>
      </c>
      <c r="B13" t="s">
        <v>364</v>
      </c>
      <c r="C13" s="4" t="b">
        <v>1</v>
      </c>
      <c r="D13" t="s">
        <v>61</v>
      </c>
      <c r="E13" t="s">
        <v>12</v>
      </c>
      <c r="F13" t="s">
        <v>31</v>
      </c>
      <c r="G13" t="s">
        <v>62</v>
      </c>
      <c r="H13" t="s">
        <v>12</v>
      </c>
      <c r="I13" s="3">
        <v>0.44600000000000001</v>
      </c>
      <c r="J13" t="s">
        <v>18</v>
      </c>
      <c r="K13" s="3">
        <v>0.246</v>
      </c>
      <c r="L13" s="3">
        <f>+ABS(K13-I13)</f>
        <v>0.2</v>
      </c>
      <c r="M13" t="b">
        <v>1</v>
      </c>
      <c r="N13" t="b">
        <v>0</v>
      </c>
    </row>
    <row r="14" spans="1:14" x14ac:dyDescent="0.25">
      <c r="A14" s="4" t="s">
        <v>33</v>
      </c>
      <c r="B14" s="4" t="s">
        <v>356</v>
      </c>
      <c r="C14" s="4" t="b">
        <v>1</v>
      </c>
      <c r="D14" s="4" t="s">
        <v>34</v>
      </c>
      <c r="E14" s="4" t="s">
        <v>12</v>
      </c>
      <c r="F14" s="4" t="s">
        <v>19</v>
      </c>
      <c r="G14" s="4" t="s">
        <v>35</v>
      </c>
      <c r="H14" s="4" t="s">
        <v>15</v>
      </c>
      <c r="I14" s="5">
        <v>0.30399999999999999</v>
      </c>
      <c r="J14" s="4" t="s">
        <v>12</v>
      </c>
      <c r="K14" s="5">
        <v>0.24299999999999999</v>
      </c>
      <c r="L14" s="5">
        <f>+ABS(K14-I14)</f>
        <v>6.0999999999999999E-2</v>
      </c>
      <c r="M14" s="4" t="b">
        <v>0</v>
      </c>
      <c r="N14" t="b">
        <v>1</v>
      </c>
    </row>
    <row r="15" spans="1:14" x14ac:dyDescent="0.25">
      <c r="A15" t="s">
        <v>22</v>
      </c>
      <c r="B15" t="s">
        <v>383</v>
      </c>
      <c r="C15" s="4" t="b">
        <v>1</v>
      </c>
      <c r="D15" t="s">
        <v>23</v>
      </c>
      <c r="E15" t="s">
        <v>15</v>
      </c>
      <c r="F15" t="s">
        <v>13</v>
      </c>
      <c r="G15" t="s">
        <v>24</v>
      </c>
      <c r="H15" t="s">
        <v>15</v>
      </c>
      <c r="I15" s="3">
        <v>0.55200000000000005</v>
      </c>
      <c r="J15" t="s">
        <v>25</v>
      </c>
      <c r="K15" s="3">
        <v>0.16900000000000001</v>
      </c>
      <c r="L15" s="3">
        <f>+ABS(K15-I15)</f>
        <v>0.38300000000000001</v>
      </c>
      <c r="M15" t="b">
        <v>1</v>
      </c>
      <c r="N15" t="b">
        <v>0</v>
      </c>
    </row>
    <row r="16" spans="1:14" x14ac:dyDescent="0.25">
      <c r="A16" t="s">
        <v>29</v>
      </c>
      <c r="B16" t="s">
        <v>359</v>
      </c>
      <c r="C16" s="4" t="b">
        <v>0</v>
      </c>
      <c r="D16" t="s">
        <v>30</v>
      </c>
      <c r="E16" t="s">
        <v>25</v>
      </c>
      <c r="F16" t="s">
        <v>31</v>
      </c>
      <c r="G16" t="s">
        <v>32</v>
      </c>
      <c r="H16" t="s">
        <v>25</v>
      </c>
      <c r="I16" s="3">
        <v>0.442</v>
      </c>
      <c r="J16" t="s">
        <v>15</v>
      </c>
      <c r="K16" s="3">
        <v>0.27300000000000002</v>
      </c>
      <c r="L16" s="3">
        <f>+ABS(K16-I16)</f>
        <v>0.16899999999999998</v>
      </c>
      <c r="M16" t="b">
        <v>1</v>
      </c>
      <c r="N16" t="b">
        <v>0</v>
      </c>
    </row>
    <row r="17" spans="1:14" x14ac:dyDescent="0.25">
      <c r="A17" t="s">
        <v>63</v>
      </c>
      <c r="B17" t="s">
        <v>359</v>
      </c>
      <c r="C17" s="4" t="b">
        <v>0</v>
      </c>
      <c r="D17" t="s">
        <v>64</v>
      </c>
      <c r="E17" t="s">
        <v>25</v>
      </c>
      <c r="F17" t="s">
        <v>13</v>
      </c>
      <c r="G17" t="s">
        <v>65</v>
      </c>
      <c r="H17" t="s">
        <v>25</v>
      </c>
      <c r="I17" s="3">
        <v>0.53600000000000003</v>
      </c>
      <c r="J17" t="s">
        <v>18</v>
      </c>
      <c r="K17" s="3">
        <v>0.21099999999999999</v>
      </c>
      <c r="L17" s="3">
        <f>+ABS(K17-I17)</f>
        <v>0.32500000000000007</v>
      </c>
      <c r="M17" t="b">
        <v>1</v>
      </c>
      <c r="N17" t="b">
        <v>0</v>
      </c>
    </row>
    <row r="18" spans="1:14" x14ac:dyDescent="0.25">
      <c r="A18" s="4" t="s">
        <v>68</v>
      </c>
      <c r="B18" s="4" t="s">
        <v>359</v>
      </c>
      <c r="C18" s="4" t="b">
        <v>0</v>
      </c>
      <c r="D18" s="4" t="s">
        <v>69</v>
      </c>
      <c r="E18" s="4" t="s">
        <v>18</v>
      </c>
      <c r="F18" s="4" t="s">
        <v>31</v>
      </c>
      <c r="G18" s="4" t="s">
        <v>70</v>
      </c>
      <c r="H18" s="4" t="s">
        <v>15</v>
      </c>
      <c r="I18" s="5">
        <v>0.38600000000000001</v>
      </c>
      <c r="J18" s="4" t="s">
        <v>18</v>
      </c>
      <c r="K18" s="5">
        <v>0.25</v>
      </c>
      <c r="L18" s="5">
        <f>+ABS(K18-I18)</f>
        <v>0.13600000000000001</v>
      </c>
      <c r="M18" s="4" t="b">
        <v>0</v>
      </c>
      <c r="N18" t="b">
        <v>1</v>
      </c>
    </row>
    <row r="19" spans="1:14" x14ac:dyDescent="0.25">
      <c r="A19" t="s">
        <v>101</v>
      </c>
      <c r="B19" t="s">
        <v>364</v>
      </c>
      <c r="C19" s="4" t="b">
        <v>1</v>
      </c>
      <c r="D19" t="s">
        <v>102</v>
      </c>
      <c r="E19" t="s">
        <v>12</v>
      </c>
      <c r="F19" t="s">
        <v>13</v>
      </c>
      <c r="G19" t="s">
        <v>103</v>
      </c>
      <c r="H19" t="s">
        <v>12</v>
      </c>
      <c r="I19" s="3">
        <v>0.47799999999999998</v>
      </c>
      <c r="J19" t="s">
        <v>15</v>
      </c>
      <c r="K19" s="3">
        <v>0.248</v>
      </c>
      <c r="L19" s="3">
        <f>+ABS(K19-I19)</f>
        <v>0.22999999999999998</v>
      </c>
      <c r="M19" t="b">
        <v>1</v>
      </c>
      <c r="N19" t="b">
        <v>0</v>
      </c>
    </row>
    <row r="20" spans="1:14" x14ac:dyDescent="0.25">
      <c r="A20" t="s">
        <v>74</v>
      </c>
      <c r="B20" t="s">
        <v>357</v>
      </c>
      <c r="C20" s="4" t="b">
        <v>0</v>
      </c>
      <c r="D20" t="s">
        <v>75</v>
      </c>
      <c r="E20" t="s">
        <v>25</v>
      </c>
      <c r="F20" t="s">
        <v>19</v>
      </c>
      <c r="G20" t="s">
        <v>76</v>
      </c>
      <c r="H20" t="s">
        <v>25</v>
      </c>
      <c r="I20" s="3">
        <v>0.34799999999999998</v>
      </c>
      <c r="J20" t="s">
        <v>18</v>
      </c>
      <c r="K20" s="3">
        <v>0.24099999999999999</v>
      </c>
      <c r="L20" s="3">
        <f>+ABS(K20-I20)</f>
        <v>0.10699999999999998</v>
      </c>
      <c r="M20" t="b">
        <v>1</v>
      </c>
      <c r="N20" t="b">
        <v>0</v>
      </c>
    </row>
    <row r="21" spans="1:14" x14ac:dyDescent="0.25">
      <c r="A21" t="s">
        <v>66</v>
      </c>
      <c r="B21" t="s">
        <v>357</v>
      </c>
      <c r="C21" s="4" t="b">
        <v>0</v>
      </c>
      <c r="D21" t="s">
        <v>67</v>
      </c>
      <c r="E21" t="s">
        <v>18</v>
      </c>
      <c r="F21" t="s">
        <v>13</v>
      </c>
      <c r="G21" t="s">
        <v>28</v>
      </c>
      <c r="H21" t="s">
        <v>25</v>
      </c>
      <c r="I21" s="3">
        <v>0.48</v>
      </c>
      <c r="J21" t="s">
        <v>18</v>
      </c>
      <c r="K21" s="3">
        <v>0.26100000000000001</v>
      </c>
      <c r="L21" s="3">
        <f>+ABS(K21-I21)</f>
        <v>0.21899999999999997</v>
      </c>
      <c r="M21" t="b">
        <v>0</v>
      </c>
      <c r="N21" t="b">
        <v>0</v>
      </c>
    </row>
    <row r="22" spans="1:14" x14ac:dyDescent="0.25">
      <c r="A22" s="4" t="s">
        <v>71</v>
      </c>
      <c r="B22" t="s">
        <v>364</v>
      </c>
      <c r="C22" s="4" t="b">
        <v>1</v>
      </c>
      <c r="D22" s="4" t="s">
        <v>72</v>
      </c>
      <c r="E22" s="4" t="s">
        <v>18</v>
      </c>
      <c r="F22" s="4" t="s">
        <v>19</v>
      </c>
      <c r="G22" s="4" t="s">
        <v>73</v>
      </c>
      <c r="H22" s="4" t="s">
        <v>12</v>
      </c>
      <c r="I22" s="5">
        <v>0.32600000000000001</v>
      </c>
      <c r="J22" s="4" t="s">
        <v>18</v>
      </c>
      <c r="K22" s="5">
        <v>0.28799999999999998</v>
      </c>
      <c r="L22" s="5">
        <f>+ABS(K22-I22)</f>
        <v>3.8000000000000034E-2</v>
      </c>
      <c r="M22" s="4" t="b">
        <v>0</v>
      </c>
      <c r="N22" t="b">
        <v>1</v>
      </c>
    </row>
    <row r="23" spans="1:14" x14ac:dyDescent="0.25">
      <c r="A23" t="s">
        <v>86</v>
      </c>
      <c r="B23" t="s">
        <v>354</v>
      </c>
      <c r="C23" s="4" t="b">
        <v>0</v>
      </c>
      <c r="D23" t="s">
        <v>87</v>
      </c>
      <c r="E23" t="s">
        <v>18</v>
      </c>
      <c r="F23" t="s">
        <v>31</v>
      </c>
      <c r="G23" t="s">
        <v>88</v>
      </c>
      <c r="H23" t="s">
        <v>18</v>
      </c>
      <c r="I23" s="3">
        <v>0.436</v>
      </c>
      <c r="J23" t="s">
        <v>25</v>
      </c>
      <c r="K23" s="3">
        <v>0.22600000000000001</v>
      </c>
      <c r="L23" s="3">
        <f>+ABS(K23-I23)</f>
        <v>0.21</v>
      </c>
      <c r="M23" t="b">
        <v>1</v>
      </c>
      <c r="N23" t="b">
        <v>0</v>
      </c>
    </row>
    <row r="24" spans="1:14" x14ac:dyDescent="0.25">
      <c r="A24" s="4" t="s">
        <v>83</v>
      </c>
      <c r="B24" s="4" t="s">
        <v>359</v>
      </c>
      <c r="C24" s="4" t="b">
        <v>0</v>
      </c>
      <c r="D24" s="4" t="s">
        <v>84</v>
      </c>
      <c r="E24" s="4" t="s">
        <v>18</v>
      </c>
      <c r="F24" s="4" t="s">
        <v>19</v>
      </c>
      <c r="G24" s="4" t="s">
        <v>85</v>
      </c>
      <c r="H24" s="4" t="s">
        <v>15</v>
      </c>
      <c r="I24" s="5">
        <v>0.30399999999999999</v>
      </c>
      <c r="J24" s="4" t="s">
        <v>18</v>
      </c>
      <c r="K24" s="5">
        <v>0.29399999999999998</v>
      </c>
      <c r="L24" s="5">
        <f>+ABS(K24-I24)</f>
        <v>1.0000000000000009E-2</v>
      </c>
      <c r="M24" s="4" t="b">
        <v>0</v>
      </c>
      <c r="N24" t="b">
        <v>1</v>
      </c>
    </row>
    <row r="25" spans="1:14" x14ac:dyDescent="0.25">
      <c r="A25" t="s">
        <v>107</v>
      </c>
      <c r="B25" t="s">
        <v>359</v>
      </c>
      <c r="C25" s="4" t="b">
        <v>0</v>
      </c>
      <c r="D25" t="s">
        <v>108</v>
      </c>
      <c r="E25" t="s">
        <v>15</v>
      </c>
      <c r="F25" t="s">
        <v>13</v>
      </c>
      <c r="G25" t="s">
        <v>109</v>
      </c>
      <c r="H25" t="s">
        <v>15</v>
      </c>
      <c r="I25" s="3">
        <v>0.56000000000000005</v>
      </c>
      <c r="J25" t="s">
        <v>25</v>
      </c>
      <c r="K25" s="3">
        <v>0.20599999999999999</v>
      </c>
      <c r="L25" s="3">
        <f>+ABS(K25-I25)</f>
        <v>0.35400000000000009</v>
      </c>
      <c r="M25" t="b">
        <v>1</v>
      </c>
      <c r="N25" t="b">
        <v>0</v>
      </c>
    </row>
    <row r="26" spans="1:14" x14ac:dyDescent="0.25">
      <c r="A26" t="s">
        <v>116</v>
      </c>
      <c r="B26" t="s">
        <v>378</v>
      </c>
      <c r="C26" s="4" t="b">
        <v>1</v>
      </c>
      <c r="D26" t="s">
        <v>117</v>
      </c>
      <c r="E26" t="s">
        <v>18</v>
      </c>
      <c r="F26" t="s">
        <v>19</v>
      </c>
      <c r="G26" t="s">
        <v>118</v>
      </c>
      <c r="H26" t="s">
        <v>18</v>
      </c>
      <c r="I26" s="3">
        <v>0.31900000000000001</v>
      </c>
      <c r="J26" t="s">
        <v>25</v>
      </c>
      <c r="K26" s="3">
        <v>0.28499999999999998</v>
      </c>
      <c r="L26" s="3">
        <f>+ABS(K26-I26)</f>
        <v>3.400000000000003E-2</v>
      </c>
      <c r="M26" t="b">
        <v>1</v>
      </c>
      <c r="N26" t="b">
        <v>0</v>
      </c>
    </row>
    <row r="27" spans="1:14" x14ac:dyDescent="0.25">
      <c r="A27" t="s">
        <v>80</v>
      </c>
      <c r="B27" t="s">
        <v>359</v>
      </c>
      <c r="C27" s="4" t="b">
        <v>0</v>
      </c>
      <c r="D27" t="s">
        <v>81</v>
      </c>
      <c r="E27" t="s">
        <v>25</v>
      </c>
      <c r="F27" t="s">
        <v>13</v>
      </c>
      <c r="G27" t="s">
        <v>82</v>
      </c>
      <c r="H27" t="s">
        <v>25</v>
      </c>
      <c r="I27" s="3">
        <v>0.46800000000000003</v>
      </c>
      <c r="J27" t="s">
        <v>15</v>
      </c>
      <c r="K27" s="3">
        <v>0.26500000000000001</v>
      </c>
      <c r="L27" s="3">
        <f>+ABS(K27-I27)</f>
        <v>0.20300000000000001</v>
      </c>
      <c r="M27" t="b">
        <v>1</v>
      </c>
      <c r="N27" t="b">
        <v>0</v>
      </c>
    </row>
    <row r="28" spans="1:14" x14ac:dyDescent="0.25">
      <c r="A28" t="s">
        <v>92</v>
      </c>
      <c r="B28" t="s">
        <v>359</v>
      </c>
      <c r="C28" s="4" t="b">
        <v>0</v>
      </c>
      <c r="D28" t="s">
        <v>93</v>
      </c>
      <c r="E28" t="s">
        <v>25</v>
      </c>
      <c r="F28" t="s">
        <v>13</v>
      </c>
      <c r="G28" t="s">
        <v>94</v>
      </c>
      <c r="H28" t="s">
        <v>25</v>
      </c>
      <c r="I28" s="3">
        <v>0.48799999999999999</v>
      </c>
      <c r="J28" t="s">
        <v>15</v>
      </c>
      <c r="K28" s="3">
        <v>0.312</v>
      </c>
      <c r="L28" s="3">
        <f>+ABS(K28-I28)</f>
        <v>0.17599999999999999</v>
      </c>
      <c r="M28" t="b">
        <v>1</v>
      </c>
      <c r="N28" t="b">
        <v>0</v>
      </c>
    </row>
    <row r="29" spans="1:14" x14ac:dyDescent="0.25">
      <c r="A29" t="s">
        <v>95</v>
      </c>
      <c r="B29" t="s">
        <v>364</v>
      </c>
      <c r="C29" s="4" t="b">
        <v>1</v>
      </c>
      <c r="D29" t="s">
        <v>96</v>
      </c>
      <c r="E29" t="s">
        <v>18</v>
      </c>
      <c r="F29" t="s">
        <v>31</v>
      </c>
      <c r="G29" t="s">
        <v>97</v>
      </c>
      <c r="H29" t="s">
        <v>12</v>
      </c>
      <c r="I29" s="3">
        <v>0.38300000000000001</v>
      </c>
      <c r="J29" t="s">
        <v>18</v>
      </c>
      <c r="K29" s="3">
        <v>0.247</v>
      </c>
      <c r="L29" s="3">
        <f>+ABS(K29-I29)</f>
        <v>0.13600000000000001</v>
      </c>
      <c r="M29" t="b">
        <v>0</v>
      </c>
      <c r="N29" t="b">
        <v>0</v>
      </c>
    </row>
    <row r="30" spans="1:14" x14ac:dyDescent="0.25">
      <c r="A30" t="s">
        <v>77</v>
      </c>
      <c r="B30" t="s">
        <v>366</v>
      </c>
      <c r="C30" s="4" t="b">
        <v>1</v>
      </c>
      <c r="D30" t="s">
        <v>78</v>
      </c>
      <c r="E30" t="s">
        <v>25</v>
      </c>
      <c r="F30" t="s">
        <v>31</v>
      </c>
      <c r="G30" t="s">
        <v>79</v>
      </c>
      <c r="H30" t="s">
        <v>25</v>
      </c>
      <c r="I30" s="3">
        <v>0.434</v>
      </c>
      <c r="J30" t="s">
        <v>15</v>
      </c>
      <c r="K30" s="3">
        <v>0.216</v>
      </c>
      <c r="L30" s="3">
        <f>+ABS(K30-I30)</f>
        <v>0.218</v>
      </c>
      <c r="M30" t="b">
        <v>1</v>
      </c>
      <c r="N30" t="b">
        <v>0</v>
      </c>
    </row>
    <row r="31" spans="1:14" x14ac:dyDescent="0.25">
      <c r="A31" t="s">
        <v>89</v>
      </c>
      <c r="B31" t="s">
        <v>377</v>
      </c>
      <c r="C31" s="4" t="b">
        <v>0</v>
      </c>
      <c r="D31" t="s">
        <v>90</v>
      </c>
      <c r="E31" t="s">
        <v>12</v>
      </c>
      <c r="F31" t="s">
        <v>31</v>
      </c>
      <c r="G31" t="s">
        <v>91</v>
      </c>
      <c r="H31" t="s">
        <v>12</v>
      </c>
      <c r="I31" s="3">
        <v>0.36899999999999999</v>
      </c>
      <c r="J31" t="s">
        <v>18</v>
      </c>
      <c r="K31" s="3">
        <v>0.22</v>
      </c>
      <c r="L31" s="3">
        <f>+ABS(K31-I31)</f>
        <v>0.14899999999999999</v>
      </c>
      <c r="M31" t="b">
        <v>1</v>
      </c>
      <c r="N31" t="b">
        <v>0</v>
      </c>
    </row>
    <row r="32" spans="1:14" x14ac:dyDescent="0.25">
      <c r="A32" t="s">
        <v>98</v>
      </c>
      <c r="B32" t="s">
        <v>378</v>
      </c>
      <c r="C32" s="4" t="b">
        <v>1</v>
      </c>
      <c r="D32" t="s">
        <v>99</v>
      </c>
      <c r="E32" t="s">
        <v>12</v>
      </c>
      <c r="F32" t="s">
        <v>31</v>
      </c>
      <c r="G32" t="s">
        <v>100</v>
      </c>
      <c r="H32" t="s">
        <v>12</v>
      </c>
      <c r="I32" s="3">
        <v>0.40799999999999997</v>
      </c>
      <c r="J32" t="s">
        <v>25</v>
      </c>
      <c r="K32" s="3">
        <v>0.24399999999999999</v>
      </c>
      <c r="L32" s="3">
        <f>+ABS(K32-I32)</f>
        <v>0.16399999999999998</v>
      </c>
      <c r="M32" t="b">
        <v>1</v>
      </c>
      <c r="N32" t="b">
        <v>0</v>
      </c>
    </row>
    <row r="33" spans="1:14" x14ac:dyDescent="0.25">
      <c r="A33" t="s">
        <v>122</v>
      </c>
      <c r="B33" t="s">
        <v>364</v>
      </c>
      <c r="C33" s="4" t="b">
        <v>1</v>
      </c>
      <c r="D33" t="s">
        <v>123</v>
      </c>
      <c r="E33" t="s">
        <v>12</v>
      </c>
      <c r="F33" t="s">
        <v>13</v>
      </c>
      <c r="G33" t="s">
        <v>124</v>
      </c>
      <c r="H33" t="s">
        <v>12</v>
      </c>
      <c r="I33" s="3">
        <v>0.57899999999999996</v>
      </c>
      <c r="J33" t="s">
        <v>18</v>
      </c>
      <c r="K33" s="3">
        <v>0.16200000000000001</v>
      </c>
      <c r="L33" s="3">
        <f>+ABS(K33-I33)</f>
        <v>0.41699999999999993</v>
      </c>
      <c r="M33" t="b">
        <v>1</v>
      </c>
      <c r="N33" t="b">
        <v>0</v>
      </c>
    </row>
    <row r="34" spans="1:14" x14ac:dyDescent="0.25">
      <c r="A34" s="4" t="s">
        <v>119</v>
      </c>
      <c r="B34" s="4" t="s">
        <v>377</v>
      </c>
      <c r="C34" s="4" t="b">
        <v>0</v>
      </c>
      <c r="D34" s="4" t="s">
        <v>120</v>
      </c>
      <c r="E34" s="4" t="s">
        <v>12</v>
      </c>
      <c r="F34" s="4" t="s">
        <v>13</v>
      </c>
      <c r="G34" s="4" t="s">
        <v>121</v>
      </c>
      <c r="H34" s="4" t="s">
        <v>21</v>
      </c>
      <c r="I34" s="5">
        <v>0.52600000000000002</v>
      </c>
      <c r="J34" s="4" t="s">
        <v>12</v>
      </c>
      <c r="K34" s="5">
        <v>0.29399999999999998</v>
      </c>
      <c r="L34" s="5">
        <f>+ABS(K34-I34)</f>
        <v>0.23200000000000004</v>
      </c>
      <c r="M34" s="4" t="b">
        <v>0</v>
      </c>
      <c r="N34" t="b">
        <v>1</v>
      </c>
    </row>
    <row r="35" spans="1:14" x14ac:dyDescent="0.25">
      <c r="A35" t="s">
        <v>104</v>
      </c>
      <c r="B35" t="s">
        <v>377</v>
      </c>
      <c r="C35" s="4" t="b">
        <v>0</v>
      </c>
      <c r="D35" t="s">
        <v>105</v>
      </c>
      <c r="E35" t="s">
        <v>12</v>
      </c>
      <c r="F35" t="s">
        <v>13</v>
      </c>
      <c r="G35" t="s">
        <v>106</v>
      </c>
      <c r="H35" t="s">
        <v>12</v>
      </c>
      <c r="I35" s="3">
        <v>0.56799999999999995</v>
      </c>
      <c r="J35" t="s">
        <v>25</v>
      </c>
      <c r="K35" s="3">
        <v>0.158</v>
      </c>
      <c r="L35" s="3">
        <f>+ABS(K35-I35)</f>
        <v>0.40999999999999992</v>
      </c>
      <c r="M35" t="b">
        <v>1</v>
      </c>
      <c r="N35" t="b">
        <v>0</v>
      </c>
    </row>
    <row r="36" spans="1:14" x14ac:dyDescent="0.25">
      <c r="A36" t="s">
        <v>133</v>
      </c>
      <c r="B36" t="s">
        <v>369</v>
      </c>
      <c r="C36" s="4" t="b">
        <v>1</v>
      </c>
      <c r="D36" t="s">
        <v>134</v>
      </c>
      <c r="E36" t="s">
        <v>18</v>
      </c>
      <c r="F36" t="s">
        <v>31</v>
      </c>
      <c r="G36" t="s">
        <v>91</v>
      </c>
      <c r="H36" t="s">
        <v>12</v>
      </c>
      <c r="I36" s="3">
        <v>0.373</v>
      </c>
      <c r="J36" t="s">
        <v>18</v>
      </c>
      <c r="K36" s="3">
        <v>0.251</v>
      </c>
      <c r="L36" s="3">
        <f>+ABS(K36-I36)</f>
        <v>0.122</v>
      </c>
      <c r="M36" t="b">
        <v>0</v>
      </c>
      <c r="N36" t="b">
        <v>0</v>
      </c>
    </row>
    <row r="37" spans="1:14" x14ac:dyDescent="0.25">
      <c r="A37" t="s">
        <v>138</v>
      </c>
      <c r="B37" t="s">
        <v>363</v>
      </c>
      <c r="C37" s="4" t="b">
        <v>0</v>
      </c>
      <c r="D37" t="s">
        <v>139</v>
      </c>
      <c r="E37" t="s">
        <v>12</v>
      </c>
      <c r="F37" t="s">
        <v>19</v>
      </c>
      <c r="G37" t="s">
        <v>140</v>
      </c>
      <c r="H37" t="s">
        <v>12</v>
      </c>
      <c r="I37" s="3">
        <v>0.32100000000000001</v>
      </c>
      <c r="J37" t="s">
        <v>25</v>
      </c>
      <c r="K37" s="3">
        <v>0.28399999999999997</v>
      </c>
      <c r="L37" s="3">
        <f>+ABS(K37-I37)</f>
        <v>3.7000000000000033E-2</v>
      </c>
      <c r="M37" t="b">
        <v>1</v>
      </c>
      <c r="N37" t="b">
        <v>0</v>
      </c>
    </row>
    <row r="38" spans="1:14" x14ac:dyDescent="0.25">
      <c r="A38" t="s">
        <v>125</v>
      </c>
      <c r="B38" t="s">
        <v>364</v>
      </c>
      <c r="C38" s="4" t="b">
        <v>1</v>
      </c>
      <c r="D38" t="s">
        <v>126</v>
      </c>
      <c r="E38" t="s">
        <v>21</v>
      </c>
      <c r="F38" t="s">
        <v>31</v>
      </c>
      <c r="G38" t="s">
        <v>127</v>
      </c>
      <c r="H38" t="s">
        <v>21</v>
      </c>
      <c r="I38" s="3">
        <v>0.433</v>
      </c>
      <c r="J38" t="s">
        <v>18</v>
      </c>
      <c r="K38" s="3">
        <v>0.26200000000000001</v>
      </c>
      <c r="L38" s="3">
        <f>+ABS(K38-I38)</f>
        <v>0.17099999999999999</v>
      </c>
      <c r="M38" t="b">
        <v>1</v>
      </c>
      <c r="N38" t="b">
        <v>0</v>
      </c>
    </row>
    <row r="39" spans="1:14" x14ac:dyDescent="0.25">
      <c r="A39" t="s">
        <v>110</v>
      </c>
      <c r="B39" t="s">
        <v>364</v>
      </c>
      <c r="C39" s="4" t="b">
        <v>1</v>
      </c>
      <c r="D39" t="s">
        <v>111</v>
      </c>
      <c r="E39" t="s">
        <v>18</v>
      </c>
      <c r="F39" t="s">
        <v>31</v>
      </c>
      <c r="G39" t="s">
        <v>112</v>
      </c>
      <c r="H39" t="s">
        <v>18</v>
      </c>
      <c r="I39" s="3">
        <v>0.379</v>
      </c>
      <c r="J39" t="s">
        <v>12</v>
      </c>
      <c r="K39" s="3">
        <v>0.19500000000000001</v>
      </c>
      <c r="L39" s="3">
        <f>+ABS(K39-I39)</f>
        <v>0.184</v>
      </c>
      <c r="M39" t="b">
        <v>1</v>
      </c>
      <c r="N39" t="b">
        <v>0</v>
      </c>
    </row>
    <row r="40" spans="1:14" x14ac:dyDescent="0.25">
      <c r="A40" t="s">
        <v>113</v>
      </c>
      <c r="B40" t="s">
        <v>364</v>
      </c>
      <c r="C40" s="4" t="b">
        <v>1</v>
      </c>
      <c r="D40" t="s">
        <v>114</v>
      </c>
      <c r="E40" t="s">
        <v>25</v>
      </c>
      <c r="F40" t="s">
        <v>19</v>
      </c>
      <c r="G40" t="s">
        <v>115</v>
      </c>
      <c r="H40" t="s">
        <v>25</v>
      </c>
      <c r="I40" s="3">
        <v>0.25900000000000001</v>
      </c>
      <c r="J40" t="s">
        <v>18</v>
      </c>
      <c r="K40" s="3">
        <v>0.24099999999999999</v>
      </c>
      <c r="L40" s="3">
        <f>+ABS(K40-I40)</f>
        <v>1.8000000000000016E-2</v>
      </c>
      <c r="M40" t="b">
        <v>1</v>
      </c>
      <c r="N40" t="b">
        <v>0</v>
      </c>
    </row>
    <row r="41" spans="1:14" x14ac:dyDescent="0.25">
      <c r="A41" t="s">
        <v>130</v>
      </c>
      <c r="B41" t="s">
        <v>357</v>
      </c>
      <c r="C41" s="4" t="b">
        <v>0</v>
      </c>
      <c r="D41" t="s">
        <v>131</v>
      </c>
      <c r="E41" t="s">
        <v>18</v>
      </c>
      <c r="F41" t="s">
        <v>13</v>
      </c>
      <c r="G41" t="s">
        <v>132</v>
      </c>
      <c r="H41" t="s">
        <v>18</v>
      </c>
      <c r="I41" s="3">
        <v>0.47199999999999998</v>
      </c>
      <c r="J41" t="s">
        <v>25</v>
      </c>
      <c r="K41" s="3">
        <v>0.27500000000000002</v>
      </c>
      <c r="L41" s="3">
        <f>+ABS(K41-I41)</f>
        <v>0.19699999999999995</v>
      </c>
      <c r="M41" t="b">
        <v>1</v>
      </c>
      <c r="N41" t="b">
        <v>0</v>
      </c>
    </row>
    <row r="42" spans="1:14" x14ac:dyDescent="0.25">
      <c r="A42" s="4" t="s">
        <v>144</v>
      </c>
      <c r="B42" s="4" t="s">
        <v>379</v>
      </c>
      <c r="C42" s="4" t="b">
        <v>0</v>
      </c>
      <c r="D42" s="4" t="s">
        <v>145</v>
      </c>
      <c r="E42" s="4" t="s">
        <v>25</v>
      </c>
      <c r="F42" s="4" t="s">
        <v>31</v>
      </c>
      <c r="G42" s="4" t="s">
        <v>146</v>
      </c>
      <c r="H42" s="4" t="s">
        <v>18</v>
      </c>
      <c r="I42" s="5">
        <v>0.40200000000000002</v>
      </c>
      <c r="J42" s="4" t="s">
        <v>25</v>
      </c>
      <c r="K42" s="5">
        <v>0.192</v>
      </c>
      <c r="L42" s="5">
        <f>+ABS(K42-I42)</f>
        <v>0.21000000000000002</v>
      </c>
      <c r="M42" s="4" t="b">
        <v>0</v>
      </c>
      <c r="N42" t="b">
        <v>1</v>
      </c>
    </row>
    <row r="43" spans="1:14" x14ac:dyDescent="0.25">
      <c r="A43" t="s">
        <v>128</v>
      </c>
      <c r="B43" t="s">
        <v>364</v>
      </c>
      <c r="C43" s="4" t="b">
        <v>1</v>
      </c>
      <c r="D43" t="s">
        <v>129</v>
      </c>
      <c r="E43" t="s">
        <v>18</v>
      </c>
      <c r="F43" t="s">
        <v>31</v>
      </c>
      <c r="G43" t="s">
        <v>88</v>
      </c>
      <c r="H43" t="s">
        <v>18</v>
      </c>
      <c r="I43" s="3">
        <v>0.437</v>
      </c>
      <c r="J43" t="s">
        <v>25</v>
      </c>
      <c r="K43" s="3">
        <v>0.29699999999999999</v>
      </c>
      <c r="L43" s="3">
        <f>+ABS(K43-I43)</f>
        <v>0.14000000000000001</v>
      </c>
      <c r="M43" t="b">
        <v>1</v>
      </c>
      <c r="N43" t="b">
        <v>0</v>
      </c>
    </row>
    <row r="44" spans="1:14" x14ac:dyDescent="0.25">
      <c r="A44" t="s">
        <v>135</v>
      </c>
      <c r="B44" t="s">
        <v>369</v>
      </c>
      <c r="C44" s="4" t="b">
        <v>1</v>
      </c>
      <c r="D44" t="s">
        <v>136</v>
      </c>
      <c r="E44" t="s">
        <v>21</v>
      </c>
      <c r="F44" t="s">
        <v>13</v>
      </c>
      <c r="G44" t="s">
        <v>137</v>
      </c>
      <c r="H44" t="s">
        <v>21</v>
      </c>
      <c r="I44" s="3">
        <v>0.627</v>
      </c>
      <c r="J44" t="s">
        <v>18</v>
      </c>
      <c r="K44" s="3">
        <v>0.17299999999999999</v>
      </c>
      <c r="L44" s="3">
        <f>+ABS(K44-I44)</f>
        <v>0.45400000000000001</v>
      </c>
      <c r="M44" t="b">
        <v>1</v>
      </c>
      <c r="N44" t="b">
        <v>0</v>
      </c>
    </row>
    <row r="45" spans="1:14" x14ac:dyDescent="0.25">
      <c r="A45" t="s">
        <v>141</v>
      </c>
      <c r="B45" t="s">
        <v>357</v>
      </c>
      <c r="C45" s="4" t="b">
        <v>0</v>
      </c>
      <c r="D45" t="s">
        <v>142</v>
      </c>
      <c r="E45" t="s">
        <v>15</v>
      </c>
      <c r="F45" t="s">
        <v>13</v>
      </c>
      <c r="G45" t="s">
        <v>143</v>
      </c>
      <c r="H45" t="s">
        <v>15</v>
      </c>
      <c r="I45" s="3">
        <v>0.49299999999999999</v>
      </c>
      <c r="J45" t="s">
        <v>25</v>
      </c>
      <c r="K45" s="3">
        <v>0.27800000000000002</v>
      </c>
      <c r="L45" s="3">
        <f>+ABS(K45-I45)</f>
        <v>0.21499999999999997</v>
      </c>
      <c r="M45" t="b">
        <v>1</v>
      </c>
      <c r="N45" t="b">
        <v>0</v>
      </c>
    </row>
    <row r="46" spans="1:14" x14ac:dyDescent="0.25">
      <c r="A46" t="s">
        <v>153</v>
      </c>
      <c r="B46" t="s">
        <v>385</v>
      </c>
      <c r="C46" s="4" t="b">
        <v>1</v>
      </c>
      <c r="D46" t="s">
        <v>154</v>
      </c>
      <c r="E46" t="s">
        <v>12</v>
      </c>
      <c r="F46" t="s">
        <v>13</v>
      </c>
      <c r="G46" t="s">
        <v>106</v>
      </c>
      <c r="H46" t="s">
        <v>12</v>
      </c>
      <c r="I46" s="3">
        <v>0.56899999999999995</v>
      </c>
      <c r="J46" t="s">
        <v>18</v>
      </c>
      <c r="K46" s="3">
        <v>0.16200000000000001</v>
      </c>
      <c r="L46" s="3">
        <f>+ABS(K46-I46)</f>
        <v>0.40699999999999992</v>
      </c>
      <c r="M46" t="b">
        <v>1</v>
      </c>
      <c r="N46" t="b">
        <v>0</v>
      </c>
    </row>
    <row r="47" spans="1:14" x14ac:dyDescent="0.25">
      <c r="A47" t="s">
        <v>147</v>
      </c>
      <c r="B47" t="s">
        <v>370</v>
      </c>
      <c r="C47" s="4" t="b">
        <v>1</v>
      </c>
      <c r="D47" t="s">
        <v>148</v>
      </c>
      <c r="E47" t="s">
        <v>21</v>
      </c>
      <c r="F47" t="s">
        <v>13</v>
      </c>
      <c r="G47" t="s">
        <v>149</v>
      </c>
      <c r="H47" t="s">
        <v>21</v>
      </c>
      <c r="I47" s="3">
        <v>0.72099999999999997</v>
      </c>
      <c r="J47" t="s">
        <v>12</v>
      </c>
      <c r="K47" s="3">
        <v>0.153</v>
      </c>
      <c r="L47" s="3">
        <f>+ABS(K47-I47)</f>
        <v>0.56799999999999995</v>
      </c>
      <c r="M47" t="b">
        <v>1</v>
      </c>
      <c r="N47" t="b">
        <v>0</v>
      </c>
    </row>
    <row r="48" spans="1:14" x14ac:dyDescent="0.25">
      <c r="A48" t="s">
        <v>169</v>
      </c>
      <c r="B48" t="s">
        <v>371</v>
      </c>
      <c r="C48" s="4" t="b">
        <v>1</v>
      </c>
      <c r="D48" t="s">
        <v>170</v>
      </c>
      <c r="E48" t="s">
        <v>15</v>
      </c>
      <c r="F48" t="s">
        <v>13</v>
      </c>
      <c r="G48" t="s">
        <v>143</v>
      </c>
      <c r="H48" t="s">
        <v>15</v>
      </c>
      <c r="I48" s="3">
        <v>0.48599999999999999</v>
      </c>
      <c r="J48" t="s">
        <v>25</v>
      </c>
      <c r="K48" s="3">
        <v>0.33300000000000002</v>
      </c>
      <c r="L48" s="3">
        <f>+ABS(K48-I48)</f>
        <v>0.15299999999999997</v>
      </c>
      <c r="M48" t="b">
        <v>1</v>
      </c>
      <c r="N48" t="b">
        <v>0</v>
      </c>
    </row>
    <row r="49" spans="1:14" x14ac:dyDescent="0.25">
      <c r="A49" s="4" t="s">
        <v>158</v>
      </c>
      <c r="B49" s="4" t="s">
        <v>377</v>
      </c>
      <c r="C49" s="4" t="b">
        <v>0</v>
      </c>
      <c r="D49" s="4" t="s">
        <v>159</v>
      </c>
      <c r="E49" s="4" t="s">
        <v>18</v>
      </c>
      <c r="F49" s="4" t="s">
        <v>13</v>
      </c>
      <c r="G49" s="4" t="s">
        <v>53</v>
      </c>
      <c r="H49" s="4" t="s">
        <v>12</v>
      </c>
      <c r="I49" s="5">
        <v>0.45900000000000002</v>
      </c>
      <c r="J49" s="4" t="s">
        <v>21</v>
      </c>
      <c r="K49" s="5">
        <v>0.24199999999999999</v>
      </c>
      <c r="L49" s="5">
        <f>+ABS(K49-I49)</f>
        <v>0.21700000000000003</v>
      </c>
      <c r="M49" s="4" t="b">
        <v>0</v>
      </c>
      <c r="N49" t="b">
        <v>1</v>
      </c>
    </row>
    <row r="50" spans="1:14" x14ac:dyDescent="0.25">
      <c r="A50" t="s">
        <v>160</v>
      </c>
      <c r="B50" t="s">
        <v>384</v>
      </c>
      <c r="C50" s="4" t="b">
        <v>0</v>
      </c>
      <c r="D50" t="s">
        <v>161</v>
      </c>
      <c r="E50" t="s">
        <v>18</v>
      </c>
      <c r="F50" t="s">
        <v>13</v>
      </c>
      <c r="G50" t="s">
        <v>162</v>
      </c>
      <c r="H50" t="s">
        <v>18</v>
      </c>
      <c r="I50" s="3">
        <v>0.52</v>
      </c>
      <c r="J50" t="s">
        <v>12</v>
      </c>
      <c r="K50" s="3">
        <v>0.157</v>
      </c>
      <c r="L50" s="3">
        <f>+ABS(K50-I50)</f>
        <v>0.36299999999999999</v>
      </c>
      <c r="M50" t="b">
        <v>1</v>
      </c>
      <c r="N50" t="b">
        <v>0</v>
      </c>
    </row>
    <row r="51" spans="1:14" x14ac:dyDescent="0.25">
      <c r="A51" t="s">
        <v>166</v>
      </c>
      <c r="B51" t="s">
        <v>355</v>
      </c>
      <c r="C51" s="4" t="b">
        <v>0</v>
      </c>
      <c r="D51" t="s">
        <v>167</v>
      </c>
      <c r="E51" t="s">
        <v>25</v>
      </c>
      <c r="F51" t="s">
        <v>13</v>
      </c>
      <c r="G51" t="s">
        <v>168</v>
      </c>
      <c r="H51" t="s">
        <v>25</v>
      </c>
      <c r="I51" s="3">
        <v>0.52700000000000002</v>
      </c>
      <c r="J51" t="s">
        <v>18</v>
      </c>
      <c r="K51" s="3">
        <v>0.223</v>
      </c>
      <c r="L51" s="3">
        <f>+ABS(K51-I51)</f>
        <v>0.30400000000000005</v>
      </c>
      <c r="M51" t="b">
        <v>1</v>
      </c>
      <c r="N51" t="b">
        <v>0</v>
      </c>
    </row>
    <row r="52" spans="1:14" x14ac:dyDescent="0.25">
      <c r="A52" t="s">
        <v>171</v>
      </c>
      <c r="B52" t="s">
        <v>357</v>
      </c>
      <c r="C52" s="4" t="b">
        <v>0</v>
      </c>
      <c r="D52" t="s">
        <v>172</v>
      </c>
      <c r="E52" t="s">
        <v>15</v>
      </c>
      <c r="F52" t="s">
        <v>13</v>
      </c>
      <c r="G52" t="s">
        <v>109</v>
      </c>
      <c r="H52" t="s">
        <v>15</v>
      </c>
      <c r="I52" s="3">
        <v>0.56100000000000005</v>
      </c>
      <c r="J52" t="s">
        <v>18</v>
      </c>
      <c r="K52" s="3">
        <v>0.16200000000000001</v>
      </c>
      <c r="L52" s="3">
        <f>+ABS(K52-I52)</f>
        <v>0.39900000000000002</v>
      </c>
      <c r="M52" t="b">
        <v>1</v>
      </c>
      <c r="N52" t="b">
        <v>0</v>
      </c>
    </row>
    <row r="53" spans="1:14" x14ac:dyDescent="0.25">
      <c r="A53" t="s">
        <v>215</v>
      </c>
      <c r="B53" t="s">
        <v>371</v>
      </c>
      <c r="C53" s="4" t="b">
        <v>1</v>
      </c>
      <c r="D53" t="s">
        <v>216</v>
      </c>
      <c r="E53" t="s">
        <v>12</v>
      </c>
      <c r="F53" t="s">
        <v>13</v>
      </c>
      <c r="G53" t="s">
        <v>103</v>
      </c>
      <c r="H53" t="s">
        <v>12</v>
      </c>
      <c r="I53" s="3">
        <v>0.48299999999999998</v>
      </c>
      <c r="J53" t="s">
        <v>21</v>
      </c>
      <c r="K53" s="3">
        <v>0.28100000000000003</v>
      </c>
      <c r="L53" s="3">
        <f>+ABS(K53-I53)</f>
        <v>0.20199999999999996</v>
      </c>
      <c r="M53" t="b">
        <v>1</v>
      </c>
      <c r="N53" t="b">
        <v>0</v>
      </c>
    </row>
    <row r="54" spans="1:14" x14ac:dyDescent="0.25">
      <c r="A54" t="s">
        <v>185</v>
      </c>
      <c r="B54" t="s">
        <v>359</v>
      </c>
      <c r="C54" s="4" t="b">
        <v>0</v>
      </c>
      <c r="D54" t="s">
        <v>186</v>
      </c>
      <c r="E54" t="s">
        <v>25</v>
      </c>
      <c r="F54" t="s">
        <v>13</v>
      </c>
      <c r="G54" t="s">
        <v>187</v>
      </c>
      <c r="H54" t="s">
        <v>25</v>
      </c>
      <c r="I54" s="3">
        <v>0.57499999999999996</v>
      </c>
      <c r="J54" t="s">
        <v>15</v>
      </c>
      <c r="K54" s="3">
        <v>0.20100000000000001</v>
      </c>
      <c r="L54" s="3">
        <f>+ABS(K54-I54)</f>
        <v>0.37399999999999994</v>
      </c>
      <c r="M54" t="b">
        <v>1</v>
      </c>
      <c r="N54" t="b">
        <v>0</v>
      </c>
    </row>
    <row r="55" spans="1:14" x14ac:dyDescent="0.25">
      <c r="A55" s="4" t="s">
        <v>155</v>
      </c>
      <c r="B55" s="4" t="s">
        <v>376</v>
      </c>
      <c r="C55" s="4" t="b">
        <v>0</v>
      </c>
      <c r="D55" s="4" t="s">
        <v>156</v>
      </c>
      <c r="E55" s="4" t="s">
        <v>18</v>
      </c>
      <c r="F55" s="4" t="s">
        <v>19</v>
      </c>
      <c r="G55" s="4" t="s">
        <v>157</v>
      </c>
      <c r="H55" s="4" t="s">
        <v>21</v>
      </c>
      <c r="I55" s="5">
        <v>0.34399999999999997</v>
      </c>
      <c r="J55" s="4" t="s">
        <v>18</v>
      </c>
      <c r="K55" s="5">
        <v>0.33300000000000002</v>
      </c>
      <c r="L55" s="5">
        <f>+ABS(K55-I55)</f>
        <v>1.0999999999999954E-2</v>
      </c>
      <c r="M55" s="4" t="b">
        <v>0</v>
      </c>
      <c r="N55" t="b">
        <v>1</v>
      </c>
    </row>
    <row r="56" spans="1:14" x14ac:dyDescent="0.25">
      <c r="A56" t="s">
        <v>150</v>
      </c>
      <c r="B56" t="s">
        <v>377</v>
      </c>
      <c r="C56" s="4" t="b">
        <v>0</v>
      </c>
      <c r="D56" t="s">
        <v>151</v>
      </c>
      <c r="E56" t="s">
        <v>21</v>
      </c>
      <c r="F56" t="s">
        <v>31</v>
      </c>
      <c r="G56" t="s">
        <v>152</v>
      </c>
      <c r="H56" t="s">
        <v>21</v>
      </c>
      <c r="I56" s="3">
        <v>0.35799999999999998</v>
      </c>
      <c r="J56" t="s">
        <v>18</v>
      </c>
      <c r="K56" s="3">
        <v>0.184</v>
      </c>
      <c r="L56" s="3">
        <f>+ABS(K56-I56)</f>
        <v>0.17399999999999999</v>
      </c>
      <c r="M56" t="b">
        <v>1</v>
      </c>
      <c r="N56" t="b">
        <v>0</v>
      </c>
    </row>
    <row r="57" spans="1:14" x14ac:dyDescent="0.25">
      <c r="A57" t="s">
        <v>176</v>
      </c>
      <c r="B57" t="s">
        <v>369</v>
      </c>
      <c r="C57" s="4" t="b">
        <v>1</v>
      </c>
      <c r="D57" t="s">
        <v>177</v>
      </c>
      <c r="E57" t="s">
        <v>12</v>
      </c>
      <c r="F57" t="s">
        <v>19</v>
      </c>
      <c r="G57" t="s">
        <v>178</v>
      </c>
      <c r="H57" t="s">
        <v>12</v>
      </c>
      <c r="I57" s="3">
        <v>0.36899999999999999</v>
      </c>
      <c r="J57" t="s">
        <v>18</v>
      </c>
      <c r="K57" s="3">
        <v>0.28299999999999997</v>
      </c>
      <c r="L57" s="3">
        <f>+ABS(K57-I57)</f>
        <v>8.6000000000000021E-2</v>
      </c>
      <c r="M57" t="b">
        <v>1</v>
      </c>
      <c r="N57" t="b">
        <v>0</v>
      </c>
    </row>
    <row r="58" spans="1:14" x14ac:dyDescent="0.25">
      <c r="A58" t="s">
        <v>203</v>
      </c>
      <c r="B58" t="s">
        <v>371</v>
      </c>
      <c r="C58" s="4" t="b">
        <v>1</v>
      </c>
      <c r="D58" t="s">
        <v>204</v>
      </c>
      <c r="E58" t="s">
        <v>15</v>
      </c>
      <c r="F58" t="s">
        <v>13</v>
      </c>
      <c r="G58" t="s">
        <v>205</v>
      </c>
      <c r="H58" t="s">
        <v>15</v>
      </c>
      <c r="I58" s="3">
        <v>0.46600000000000003</v>
      </c>
      <c r="J58" t="s">
        <v>25</v>
      </c>
      <c r="K58" s="3">
        <v>0.23799999999999999</v>
      </c>
      <c r="L58" s="3">
        <f>+ABS(K58-I58)</f>
        <v>0.22800000000000004</v>
      </c>
      <c r="M58" t="b">
        <v>1</v>
      </c>
      <c r="N58" t="b">
        <v>0</v>
      </c>
    </row>
    <row r="59" spans="1:14" x14ac:dyDescent="0.25">
      <c r="A59" s="4" t="s">
        <v>173</v>
      </c>
      <c r="B59" s="4" t="s">
        <v>364</v>
      </c>
      <c r="C59" s="4" t="b">
        <v>1</v>
      </c>
      <c r="D59" s="4" t="s">
        <v>174</v>
      </c>
      <c r="E59" s="4" t="s">
        <v>12</v>
      </c>
      <c r="F59" s="4" t="s">
        <v>13</v>
      </c>
      <c r="G59" s="4" t="s">
        <v>175</v>
      </c>
      <c r="H59" s="4" t="s">
        <v>21</v>
      </c>
      <c r="I59" s="5">
        <v>0.54900000000000004</v>
      </c>
      <c r="J59" s="4" t="s">
        <v>12</v>
      </c>
      <c r="K59" s="5">
        <v>0.30399999999999999</v>
      </c>
      <c r="L59" s="5">
        <f>+ABS(K59-I59)</f>
        <v>0.24500000000000005</v>
      </c>
      <c r="M59" s="4" t="b">
        <v>0</v>
      </c>
      <c r="N59" t="b">
        <v>1</v>
      </c>
    </row>
    <row r="60" spans="1:14" x14ac:dyDescent="0.25">
      <c r="A60" s="4" t="s">
        <v>179</v>
      </c>
      <c r="B60" s="4" t="s">
        <v>364</v>
      </c>
      <c r="C60" s="4" t="b">
        <v>1</v>
      </c>
      <c r="D60" s="4" t="s">
        <v>180</v>
      </c>
      <c r="E60" s="4" t="s">
        <v>18</v>
      </c>
      <c r="F60" s="4" t="s">
        <v>19</v>
      </c>
      <c r="G60" s="4" t="s">
        <v>181</v>
      </c>
      <c r="H60" s="4" t="s">
        <v>21</v>
      </c>
      <c r="I60" s="5">
        <v>0.36199999999999999</v>
      </c>
      <c r="J60" s="4" t="s">
        <v>18</v>
      </c>
      <c r="K60" s="5">
        <v>0.33900000000000002</v>
      </c>
      <c r="L60" s="5">
        <f>+ABS(K60-I60)</f>
        <v>2.2999999999999965E-2</v>
      </c>
      <c r="M60" s="4" t="b">
        <v>0</v>
      </c>
      <c r="N60" t="b">
        <v>1</v>
      </c>
    </row>
    <row r="61" spans="1:14" x14ac:dyDescent="0.25">
      <c r="A61" t="s">
        <v>163</v>
      </c>
      <c r="B61" t="s">
        <v>377</v>
      </c>
      <c r="C61" s="4" t="b">
        <v>0</v>
      </c>
      <c r="D61" t="s">
        <v>164</v>
      </c>
      <c r="E61" t="s">
        <v>12</v>
      </c>
      <c r="F61" t="s">
        <v>31</v>
      </c>
      <c r="G61" t="s">
        <v>165</v>
      </c>
      <c r="H61" t="s">
        <v>12</v>
      </c>
      <c r="I61" s="3">
        <v>0.35599999999999998</v>
      </c>
      <c r="J61" t="s">
        <v>15</v>
      </c>
      <c r="K61" s="3">
        <v>0.20699999999999999</v>
      </c>
      <c r="L61" s="3">
        <f>+ABS(K61-I61)</f>
        <v>0.14899999999999999</v>
      </c>
      <c r="M61" t="b">
        <v>1</v>
      </c>
      <c r="N61" t="b">
        <v>0</v>
      </c>
    </row>
    <row r="62" spans="1:14" x14ac:dyDescent="0.25">
      <c r="A62" t="s">
        <v>197</v>
      </c>
      <c r="B62" t="s">
        <v>371</v>
      </c>
      <c r="C62" s="4" t="b">
        <v>1</v>
      </c>
      <c r="D62" t="s">
        <v>198</v>
      </c>
      <c r="E62" t="s">
        <v>25</v>
      </c>
      <c r="F62" t="s">
        <v>19</v>
      </c>
      <c r="G62" t="s">
        <v>199</v>
      </c>
      <c r="H62" t="s">
        <v>15</v>
      </c>
      <c r="I62" s="3">
        <v>0.441</v>
      </c>
      <c r="J62" t="s">
        <v>25</v>
      </c>
      <c r="K62" s="3">
        <v>0.34399999999999997</v>
      </c>
      <c r="L62" s="3">
        <f>+ABS(K62-I62)</f>
        <v>9.7000000000000031E-2</v>
      </c>
      <c r="M62" t="b">
        <v>0</v>
      </c>
      <c r="N62" t="b">
        <v>0</v>
      </c>
    </row>
    <row r="63" spans="1:14" x14ac:dyDescent="0.25">
      <c r="A63" t="s">
        <v>200</v>
      </c>
      <c r="B63" t="s">
        <v>354</v>
      </c>
      <c r="C63" s="4" t="b">
        <v>0</v>
      </c>
      <c r="D63" t="s">
        <v>201</v>
      </c>
      <c r="E63" t="s">
        <v>18</v>
      </c>
      <c r="F63" t="s">
        <v>31</v>
      </c>
      <c r="G63" t="s">
        <v>202</v>
      </c>
      <c r="H63" t="s">
        <v>18</v>
      </c>
      <c r="I63" s="3">
        <v>0.44900000000000001</v>
      </c>
      <c r="J63" t="s">
        <v>25</v>
      </c>
      <c r="K63" s="3">
        <v>0.26300000000000001</v>
      </c>
      <c r="L63" s="3">
        <f>+ABS(K63-I63)</f>
        <v>0.186</v>
      </c>
      <c r="M63" t="b">
        <v>1</v>
      </c>
      <c r="N63" t="b">
        <v>0</v>
      </c>
    </row>
    <row r="64" spans="1:14" x14ac:dyDescent="0.25">
      <c r="A64" t="s">
        <v>191</v>
      </c>
      <c r="B64" t="s">
        <v>382</v>
      </c>
      <c r="C64" s="4" t="b">
        <v>0</v>
      </c>
      <c r="D64" t="s">
        <v>192</v>
      </c>
      <c r="E64" t="s">
        <v>18</v>
      </c>
      <c r="F64" t="s">
        <v>13</v>
      </c>
      <c r="G64" t="s">
        <v>193</v>
      </c>
      <c r="H64" t="s">
        <v>18</v>
      </c>
      <c r="I64" s="3">
        <v>0.53600000000000003</v>
      </c>
      <c r="J64" t="s">
        <v>25</v>
      </c>
      <c r="K64" s="3">
        <v>0.21</v>
      </c>
      <c r="L64" s="3">
        <f>+ABS(K64-I64)</f>
        <v>0.32600000000000007</v>
      </c>
      <c r="M64" t="b">
        <v>1</v>
      </c>
      <c r="N64" t="b">
        <v>0</v>
      </c>
    </row>
    <row r="65" spans="1:14" x14ac:dyDescent="0.25">
      <c r="A65" t="s">
        <v>194</v>
      </c>
      <c r="B65" t="s">
        <v>372</v>
      </c>
      <c r="C65" s="4" t="b">
        <v>1</v>
      </c>
      <c r="D65" t="s">
        <v>195</v>
      </c>
      <c r="E65" t="s">
        <v>25</v>
      </c>
      <c r="F65" t="s">
        <v>31</v>
      </c>
      <c r="G65" t="s">
        <v>196</v>
      </c>
      <c r="H65" t="s">
        <v>25</v>
      </c>
      <c r="I65" s="3">
        <v>0.39200000000000002</v>
      </c>
      <c r="J65" t="s">
        <v>18</v>
      </c>
      <c r="K65" s="3">
        <v>0.27200000000000002</v>
      </c>
      <c r="L65" s="3">
        <f>+ABS(K65-I65)</f>
        <v>0.12</v>
      </c>
      <c r="M65" t="b">
        <v>1</v>
      </c>
      <c r="N65" t="b">
        <v>0</v>
      </c>
    </row>
    <row r="66" spans="1:14" x14ac:dyDescent="0.25">
      <c r="A66" t="s">
        <v>182</v>
      </c>
      <c r="B66" t="s">
        <v>386</v>
      </c>
      <c r="C66" s="4" t="b">
        <v>1</v>
      </c>
      <c r="D66" t="s">
        <v>183</v>
      </c>
      <c r="E66" t="s">
        <v>15</v>
      </c>
      <c r="F66" t="s">
        <v>13</v>
      </c>
      <c r="G66" t="s">
        <v>184</v>
      </c>
      <c r="H66" t="s">
        <v>15</v>
      </c>
      <c r="I66" s="3">
        <v>0.58699999999999997</v>
      </c>
      <c r="J66" t="s">
        <v>12</v>
      </c>
      <c r="K66" s="3">
        <v>0.156</v>
      </c>
      <c r="L66" s="3">
        <f>+ABS(K66-I66)</f>
        <v>0.43099999999999994</v>
      </c>
      <c r="M66" t="b">
        <v>1</v>
      </c>
      <c r="N66" t="b">
        <v>0</v>
      </c>
    </row>
    <row r="67" spans="1:14" x14ac:dyDescent="0.25">
      <c r="A67" s="4" t="s">
        <v>206</v>
      </c>
      <c r="B67" s="4" t="s">
        <v>371</v>
      </c>
      <c r="C67" s="4" t="b">
        <v>1</v>
      </c>
      <c r="D67" s="4" t="s">
        <v>207</v>
      </c>
      <c r="E67" s="4" t="s">
        <v>25</v>
      </c>
      <c r="F67" s="4" t="s">
        <v>19</v>
      </c>
      <c r="G67" s="4" t="s">
        <v>208</v>
      </c>
      <c r="H67" s="4" t="s">
        <v>12</v>
      </c>
      <c r="I67" s="5">
        <v>0.40500000000000003</v>
      </c>
      <c r="J67" s="4" t="s">
        <v>21</v>
      </c>
      <c r="K67" s="5">
        <v>0.312</v>
      </c>
      <c r="L67" s="5">
        <f>+ABS(K67-I67)</f>
        <v>9.3000000000000027E-2</v>
      </c>
      <c r="M67" s="4" t="b">
        <v>0</v>
      </c>
      <c r="N67" t="b">
        <v>1</v>
      </c>
    </row>
    <row r="68" spans="1:14" x14ac:dyDescent="0.25">
      <c r="A68" s="4" t="s">
        <v>188</v>
      </c>
      <c r="B68" s="4" t="s">
        <v>366</v>
      </c>
      <c r="C68" s="4" t="b">
        <v>1</v>
      </c>
      <c r="D68" s="4" t="s">
        <v>189</v>
      </c>
      <c r="E68" s="4" t="s">
        <v>25</v>
      </c>
      <c r="F68" s="4" t="s">
        <v>31</v>
      </c>
      <c r="G68" s="4" t="s">
        <v>190</v>
      </c>
      <c r="H68" s="4" t="s">
        <v>21</v>
      </c>
      <c r="I68" s="5">
        <v>0.41299999999999998</v>
      </c>
      <c r="J68" s="4" t="s">
        <v>18</v>
      </c>
      <c r="K68" s="5">
        <v>0.21</v>
      </c>
      <c r="L68" s="5">
        <f>+ABS(K68-I68)</f>
        <v>0.20299999999999999</v>
      </c>
      <c r="M68" s="4" t="b">
        <v>0</v>
      </c>
      <c r="N68" t="b">
        <v>1</v>
      </c>
    </row>
    <row r="69" spans="1:14" x14ac:dyDescent="0.25">
      <c r="A69" t="s">
        <v>217</v>
      </c>
      <c r="B69" t="s">
        <v>356</v>
      </c>
      <c r="C69" s="4" t="b">
        <v>1</v>
      </c>
      <c r="D69" t="s">
        <v>218</v>
      </c>
      <c r="E69" t="s">
        <v>12</v>
      </c>
      <c r="F69" t="s">
        <v>19</v>
      </c>
      <c r="G69" t="s">
        <v>219</v>
      </c>
      <c r="H69" t="s">
        <v>12</v>
      </c>
      <c r="I69" s="3">
        <v>0.307</v>
      </c>
      <c r="J69" t="s">
        <v>18</v>
      </c>
      <c r="K69" s="3">
        <v>0.27200000000000002</v>
      </c>
      <c r="L69" s="3">
        <f>+ABS(K69-I69)</f>
        <v>3.4999999999999976E-2</v>
      </c>
      <c r="M69" t="b">
        <v>1</v>
      </c>
      <c r="N69" t="b">
        <v>0</v>
      </c>
    </row>
    <row r="70" spans="1:14" x14ac:dyDescent="0.25">
      <c r="A70" t="s">
        <v>212</v>
      </c>
      <c r="B70" t="s">
        <v>370</v>
      </c>
      <c r="C70" s="4" t="b">
        <v>1</v>
      </c>
      <c r="D70" t="s">
        <v>213</v>
      </c>
      <c r="E70" t="s">
        <v>25</v>
      </c>
      <c r="F70" t="s">
        <v>19</v>
      </c>
      <c r="G70" t="s">
        <v>214</v>
      </c>
      <c r="H70" t="s">
        <v>25</v>
      </c>
      <c r="I70" s="3">
        <v>0.32600000000000001</v>
      </c>
      <c r="J70" t="s">
        <v>12</v>
      </c>
      <c r="K70" s="3">
        <v>0.23599999999999999</v>
      </c>
      <c r="L70" s="3">
        <f>+ABS(K70-I70)</f>
        <v>9.0000000000000024E-2</v>
      </c>
      <c r="M70" t="b">
        <v>1</v>
      </c>
      <c r="N70" t="b">
        <v>0</v>
      </c>
    </row>
    <row r="71" spans="1:14" x14ac:dyDescent="0.25">
      <c r="A71" t="s">
        <v>225</v>
      </c>
      <c r="B71" t="s">
        <v>370</v>
      </c>
      <c r="C71" s="4" t="b">
        <v>1</v>
      </c>
      <c r="D71" t="s">
        <v>226</v>
      </c>
      <c r="E71" t="s">
        <v>12</v>
      </c>
      <c r="F71" t="s">
        <v>13</v>
      </c>
      <c r="G71" t="s">
        <v>14</v>
      </c>
      <c r="H71" t="s">
        <v>12</v>
      </c>
      <c r="I71" s="3">
        <v>0.59699999999999998</v>
      </c>
      <c r="J71" t="s">
        <v>18</v>
      </c>
      <c r="K71" s="3">
        <v>0.14499999999999999</v>
      </c>
      <c r="L71" s="3">
        <f>+ABS(K71-I71)</f>
        <v>0.45199999999999996</v>
      </c>
      <c r="M71" t="b">
        <v>1</v>
      </c>
      <c r="N71" t="b">
        <v>0</v>
      </c>
    </row>
    <row r="72" spans="1:14" x14ac:dyDescent="0.25">
      <c r="A72" s="4" t="s">
        <v>209</v>
      </c>
      <c r="B72" s="4" t="s">
        <v>366</v>
      </c>
      <c r="C72" s="4" t="b">
        <v>1</v>
      </c>
      <c r="D72" s="4" t="s">
        <v>210</v>
      </c>
      <c r="E72" s="4" t="s">
        <v>18</v>
      </c>
      <c r="F72" s="4" t="s">
        <v>19</v>
      </c>
      <c r="G72" s="4" t="s">
        <v>211</v>
      </c>
      <c r="H72" s="4" t="s">
        <v>25</v>
      </c>
      <c r="I72" s="5">
        <v>0.29699999999999999</v>
      </c>
      <c r="J72" s="4" t="s">
        <v>18</v>
      </c>
      <c r="K72" s="5">
        <v>0.24099999999999999</v>
      </c>
      <c r="L72" s="5">
        <f>+ABS(K72-I72)</f>
        <v>5.5999999999999994E-2</v>
      </c>
      <c r="M72" s="4" t="b">
        <v>0</v>
      </c>
      <c r="N72" t="b">
        <v>1</v>
      </c>
    </row>
    <row r="73" spans="1:14" x14ac:dyDescent="0.25">
      <c r="A73" t="s">
        <v>222</v>
      </c>
      <c r="B73" t="s">
        <v>378</v>
      </c>
      <c r="C73" s="4" t="b">
        <v>1</v>
      </c>
      <c r="D73" t="s">
        <v>223</v>
      </c>
      <c r="E73" t="s">
        <v>15</v>
      </c>
      <c r="F73" t="s">
        <v>13</v>
      </c>
      <c r="G73" t="s">
        <v>224</v>
      </c>
      <c r="H73" t="s">
        <v>15</v>
      </c>
      <c r="I73" s="3">
        <v>0.59799999999999998</v>
      </c>
      <c r="J73" t="s">
        <v>25</v>
      </c>
      <c r="K73" s="3">
        <v>0.17299999999999999</v>
      </c>
      <c r="L73" s="3">
        <f>+ABS(K73-I73)</f>
        <v>0.42499999999999999</v>
      </c>
      <c r="M73" t="b">
        <v>1</v>
      </c>
      <c r="N73" t="b">
        <v>0</v>
      </c>
    </row>
    <row r="74" spans="1:14" x14ac:dyDescent="0.25">
      <c r="A74" t="s">
        <v>239</v>
      </c>
      <c r="B74" t="s">
        <v>378</v>
      </c>
      <c r="C74" s="4" t="b">
        <v>1</v>
      </c>
      <c r="D74" t="s">
        <v>240</v>
      </c>
      <c r="E74" t="s">
        <v>12</v>
      </c>
      <c r="F74" t="s">
        <v>31</v>
      </c>
      <c r="G74" t="s">
        <v>62</v>
      </c>
      <c r="H74" t="s">
        <v>12</v>
      </c>
      <c r="I74" s="3">
        <v>0.45</v>
      </c>
      <c r="J74" t="s">
        <v>15</v>
      </c>
      <c r="K74" s="3">
        <v>0.20699999999999999</v>
      </c>
      <c r="L74" s="3">
        <f>+ABS(K74-I74)</f>
        <v>0.24300000000000002</v>
      </c>
      <c r="M74" t="b">
        <v>1</v>
      </c>
      <c r="N74" t="b">
        <v>0</v>
      </c>
    </row>
    <row r="75" spans="1:14" x14ac:dyDescent="0.25">
      <c r="A75" t="s">
        <v>230</v>
      </c>
      <c r="B75" t="s">
        <v>372</v>
      </c>
      <c r="C75" s="4" t="b">
        <v>1</v>
      </c>
      <c r="D75" t="s">
        <v>231</v>
      </c>
      <c r="E75" t="s">
        <v>12</v>
      </c>
      <c r="F75" t="s">
        <v>19</v>
      </c>
      <c r="G75" t="s">
        <v>232</v>
      </c>
      <c r="H75" t="s">
        <v>12</v>
      </c>
      <c r="I75" s="3">
        <v>0.35599999999999998</v>
      </c>
      <c r="J75" t="s">
        <v>15</v>
      </c>
      <c r="K75" s="3">
        <v>0.251</v>
      </c>
      <c r="L75" s="3">
        <f>+ABS(K75-I75)</f>
        <v>0.10499999999999998</v>
      </c>
      <c r="M75" t="b">
        <v>1</v>
      </c>
      <c r="N75" t="b">
        <v>0</v>
      </c>
    </row>
    <row r="76" spans="1:14" x14ac:dyDescent="0.25">
      <c r="A76" t="s">
        <v>241</v>
      </c>
      <c r="B76" t="s">
        <v>372</v>
      </c>
      <c r="C76" s="4" t="b">
        <v>1</v>
      </c>
      <c r="D76" t="s">
        <v>242</v>
      </c>
      <c r="E76" t="s">
        <v>12</v>
      </c>
      <c r="F76" t="s">
        <v>13</v>
      </c>
      <c r="G76" t="s">
        <v>243</v>
      </c>
      <c r="H76" t="s">
        <v>12</v>
      </c>
      <c r="I76" s="3">
        <v>0.501</v>
      </c>
      <c r="J76" t="s">
        <v>21</v>
      </c>
      <c r="K76" s="3">
        <v>0.245</v>
      </c>
      <c r="L76" s="3">
        <f>+ABS(K76-I76)</f>
        <v>0.25600000000000001</v>
      </c>
      <c r="M76" t="b">
        <v>1</v>
      </c>
      <c r="N76" t="b">
        <v>0</v>
      </c>
    </row>
    <row r="77" spans="1:14" x14ac:dyDescent="0.25">
      <c r="A77" t="s">
        <v>233</v>
      </c>
      <c r="B77" t="s">
        <v>359</v>
      </c>
      <c r="C77" s="4" t="b">
        <v>0</v>
      </c>
      <c r="D77" t="s">
        <v>234</v>
      </c>
      <c r="E77" t="s">
        <v>21</v>
      </c>
      <c r="F77" t="s">
        <v>13</v>
      </c>
      <c r="G77" t="s">
        <v>235</v>
      </c>
      <c r="H77" t="s">
        <v>21</v>
      </c>
      <c r="I77" s="3">
        <v>0.61099999999999999</v>
      </c>
      <c r="J77" t="s">
        <v>12</v>
      </c>
      <c r="K77" s="3">
        <v>0.23499999999999999</v>
      </c>
      <c r="L77" s="3">
        <f>+ABS(K77-I77)</f>
        <v>0.376</v>
      </c>
      <c r="M77" t="b">
        <v>1</v>
      </c>
      <c r="N77" t="b">
        <v>0</v>
      </c>
    </row>
    <row r="78" spans="1:14" x14ac:dyDescent="0.25">
      <c r="A78" t="s">
        <v>247</v>
      </c>
      <c r="B78" t="s">
        <v>372</v>
      </c>
      <c r="C78" s="4" t="b">
        <v>1</v>
      </c>
      <c r="D78" t="s">
        <v>248</v>
      </c>
      <c r="E78" t="s">
        <v>21</v>
      </c>
      <c r="F78" t="s">
        <v>13</v>
      </c>
      <c r="G78" t="s">
        <v>56</v>
      </c>
      <c r="H78" t="s">
        <v>21</v>
      </c>
      <c r="I78" s="3">
        <v>0.58799999999999997</v>
      </c>
      <c r="J78" t="s">
        <v>12</v>
      </c>
      <c r="K78" s="3">
        <v>0.153</v>
      </c>
      <c r="L78" s="3">
        <f>+ABS(K78-I78)</f>
        <v>0.43499999999999994</v>
      </c>
      <c r="M78" t="b">
        <v>1</v>
      </c>
      <c r="N78" t="b">
        <v>0</v>
      </c>
    </row>
    <row r="79" spans="1:14" x14ac:dyDescent="0.25">
      <c r="A79" t="s">
        <v>227</v>
      </c>
      <c r="B79" t="s">
        <v>360</v>
      </c>
      <c r="C79" s="4" t="b">
        <v>0</v>
      </c>
      <c r="D79" t="s">
        <v>228</v>
      </c>
      <c r="E79" t="s">
        <v>25</v>
      </c>
      <c r="F79" t="s">
        <v>13</v>
      </c>
      <c r="G79" t="s">
        <v>229</v>
      </c>
      <c r="H79" t="s">
        <v>25</v>
      </c>
      <c r="I79" s="3">
        <v>0.501</v>
      </c>
      <c r="J79" t="s">
        <v>15</v>
      </c>
      <c r="K79" s="3">
        <v>0.307</v>
      </c>
      <c r="L79" s="3">
        <f>+ABS(K79-I79)</f>
        <v>0.19400000000000001</v>
      </c>
      <c r="M79" t="b">
        <v>1</v>
      </c>
      <c r="N79" t="b">
        <v>0</v>
      </c>
    </row>
    <row r="80" spans="1:14" x14ac:dyDescent="0.25">
      <c r="A80" t="s">
        <v>220</v>
      </c>
      <c r="B80" t="s">
        <v>366</v>
      </c>
      <c r="C80" s="4" t="b">
        <v>1</v>
      </c>
      <c r="D80" t="s">
        <v>221</v>
      </c>
      <c r="E80" t="s">
        <v>25</v>
      </c>
      <c r="F80" t="s">
        <v>31</v>
      </c>
      <c r="G80" t="s">
        <v>79</v>
      </c>
      <c r="H80" t="s">
        <v>25</v>
      </c>
      <c r="I80" s="3">
        <v>0.42499999999999999</v>
      </c>
      <c r="J80" t="s">
        <v>18</v>
      </c>
      <c r="K80" s="3">
        <v>0.223</v>
      </c>
      <c r="L80" s="3">
        <f>+ABS(K80-I80)</f>
        <v>0.20199999999999999</v>
      </c>
      <c r="M80" t="b">
        <v>1</v>
      </c>
      <c r="N80" t="b">
        <v>0</v>
      </c>
    </row>
    <row r="81" spans="1:14" x14ac:dyDescent="0.25">
      <c r="A81" t="s">
        <v>258</v>
      </c>
      <c r="B81" t="s">
        <v>358</v>
      </c>
      <c r="C81" s="4" t="b">
        <v>0</v>
      </c>
      <c r="D81" t="s">
        <v>259</v>
      </c>
      <c r="E81" t="s">
        <v>18</v>
      </c>
      <c r="F81" t="s">
        <v>19</v>
      </c>
      <c r="G81" t="s">
        <v>260</v>
      </c>
      <c r="H81" t="s">
        <v>18</v>
      </c>
      <c r="I81" s="3">
        <v>0.36099999999999999</v>
      </c>
      <c r="J81" t="s">
        <v>21</v>
      </c>
      <c r="K81" s="3">
        <v>0.28000000000000003</v>
      </c>
      <c r="L81" s="3">
        <f>+ABS(K81-I81)</f>
        <v>8.0999999999999961E-2</v>
      </c>
      <c r="M81" t="b">
        <v>1</v>
      </c>
      <c r="N81" t="b">
        <v>0</v>
      </c>
    </row>
    <row r="82" spans="1:14" x14ac:dyDescent="0.25">
      <c r="A82" t="s">
        <v>266</v>
      </c>
      <c r="B82" t="s">
        <v>356</v>
      </c>
      <c r="C82" s="4" t="b">
        <v>1</v>
      </c>
      <c r="D82" t="s">
        <v>267</v>
      </c>
      <c r="E82" t="s">
        <v>25</v>
      </c>
      <c r="F82" t="s">
        <v>13</v>
      </c>
      <c r="G82" t="s">
        <v>268</v>
      </c>
      <c r="H82" t="s">
        <v>25</v>
      </c>
      <c r="I82" s="3">
        <v>0.52100000000000002</v>
      </c>
      <c r="J82" t="s">
        <v>18</v>
      </c>
      <c r="K82" s="3">
        <v>0.19800000000000001</v>
      </c>
      <c r="L82" s="3">
        <f>+ABS(K82-I82)</f>
        <v>0.32300000000000001</v>
      </c>
      <c r="M82" t="b">
        <v>1</v>
      </c>
      <c r="N82" t="b">
        <v>0</v>
      </c>
    </row>
    <row r="83" spans="1:14" x14ac:dyDescent="0.25">
      <c r="A83" t="s">
        <v>236</v>
      </c>
      <c r="B83" t="s">
        <v>366</v>
      </c>
      <c r="C83" s="4" t="b">
        <v>1</v>
      </c>
      <c r="D83" t="s">
        <v>237</v>
      </c>
      <c r="E83" t="s">
        <v>25</v>
      </c>
      <c r="F83" t="s">
        <v>19</v>
      </c>
      <c r="G83" t="s">
        <v>238</v>
      </c>
      <c r="H83" t="s">
        <v>18</v>
      </c>
      <c r="I83" s="3">
        <v>0.315</v>
      </c>
      <c r="J83" t="s">
        <v>25</v>
      </c>
      <c r="K83" s="3">
        <v>0.251</v>
      </c>
      <c r="L83" s="3">
        <f>+ABS(K83-I83)</f>
        <v>6.4000000000000001E-2</v>
      </c>
      <c r="M83" t="b">
        <v>0</v>
      </c>
      <c r="N83" t="b">
        <v>0</v>
      </c>
    </row>
    <row r="84" spans="1:14" x14ac:dyDescent="0.25">
      <c r="A84" s="4" t="s">
        <v>263</v>
      </c>
      <c r="B84" s="4" t="s">
        <v>364</v>
      </c>
      <c r="C84" s="4" t="b">
        <v>1</v>
      </c>
      <c r="D84" s="4" t="s">
        <v>264</v>
      </c>
      <c r="E84" s="4" t="s">
        <v>18</v>
      </c>
      <c r="F84" s="4" t="s">
        <v>19</v>
      </c>
      <c r="G84" s="4" t="s">
        <v>265</v>
      </c>
      <c r="H84" s="4" t="s">
        <v>25</v>
      </c>
      <c r="I84" s="5">
        <v>0.40300000000000002</v>
      </c>
      <c r="J84" s="4" t="s">
        <v>15</v>
      </c>
      <c r="K84" s="5">
        <v>0.308</v>
      </c>
      <c r="L84" s="5">
        <f>+ABS(K84-I84)</f>
        <v>9.5000000000000029E-2</v>
      </c>
      <c r="M84" s="4" t="b">
        <v>0</v>
      </c>
      <c r="N84" t="b">
        <v>1</v>
      </c>
    </row>
    <row r="85" spans="1:14" x14ac:dyDescent="0.25">
      <c r="A85" t="s">
        <v>244</v>
      </c>
      <c r="B85" t="s">
        <v>381</v>
      </c>
      <c r="C85" s="4" t="b">
        <v>1</v>
      </c>
      <c r="D85" t="s">
        <v>245</v>
      </c>
      <c r="E85" t="s">
        <v>18</v>
      </c>
      <c r="F85" t="s">
        <v>13</v>
      </c>
      <c r="G85" t="s">
        <v>246</v>
      </c>
      <c r="H85" t="s">
        <v>21</v>
      </c>
      <c r="I85" s="3">
        <v>0.55600000000000005</v>
      </c>
      <c r="J85" t="s">
        <v>18</v>
      </c>
      <c r="K85" s="3">
        <v>0.25900000000000001</v>
      </c>
      <c r="L85" s="3">
        <f>+ABS(K85-I85)</f>
        <v>0.29700000000000004</v>
      </c>
      <c r="M85" t="b">
        <v>0</v>
      </c>
      <c r="N85" t="b">
        <v>0</v>
      </c>
    </row>
    <row r="86" spans="1:14" x14ac:dyDescent="0.25">
      <c r="A86" t="s">
        <v>255</v>
      </c>
      <c r="B86" t="s">
        <v>357</v>
      </c>
      <c r="C86" s="4" t="b">
        <v>0</v>
      </c>
      <c r="D86" t="s">
        <v>256</v>
      </c>
      <c r="E86" t="s">
        <v>12</v>
      </c>
      <c r="F86" t="s">
        <v>19</v>
      </c>
      <c r="G86" t="s">
        <v>257</v>
      </c>
      <c r="H86" t="s">
        <v>25</v>
      </c>
      <c r="I86" s="3">
        <v>0.32100000000000001</v>
      </c>
      <c r="J86" t="s">
        <v>18</v>
      </c>
      <c r="K86" s="3">
        <v>0.252</v>
      </c>
      <c r="L86" s="3">
        <f>+ABS(K86-I86)</f>
        <v>6.9000000000000006E-2</v>
      </c>
      <c r="M86" t="b">
        <v>0</v>
      </c>
      <c r="N86" t="b">
        <v>0</v>
      </c>
    </row>
    <row r="87" spans="1:14" x14ac:dyDescent="0.25">
      <c r="A87" t="s">
        <v>249</v>
      </c>
      <c r="B87" t="s">
        <v>357</v>
      </c>
      <c r="C87" s="4" t="b">
        <v>0</v>
      </c>
      <c r="D87" t="s">
        <v>250</v>
      </c>
      <c r="E87" t="s">
        <v>18</v>
      </c>
      <c r="F87" t="s">
        <v>19</v>
      </c>
      <c r="G87" t="s">
        <v>251</v>
      </c>
      <c r="H87" t="s">
        <v>18</v>
      </c>
      <c r="I87" s="3">
        <v>0.34100000000000003</v>
      </c>
      <c r="J87" t="s">
        <v>21</v>
      </c>
      <c r="K87" s="3">
        <v>0.25</v>
      </c>
      <c r="L87" s="3">
        <f>+ABS(K87-I87)</f>
        <v>9.1000000000000025E-2</v>
      </c>
      <c r="M87" t="b">
        <v>1</v>
      </c>
      <c r="N87" t="b">
        <v>0</v>
      </c>
    </row>
    <row r="88" spans="1:14" x14ac:dyDescent="0.25">
      <c r="A88" s="4" t="s">
        <v>252</v>
      </c>
      <c r="B88" s="4" t="s">
        <v>367</v>
      </c>
      <c r="C88" s="4" t="b">
        <v>1</v>
      </c>
      <c r="D88" s="4" t="s">
        <v>253</v>
      </c>
      <c r="E88" s="4" t="s">
        <v>25</v>
      </c>
      <c r="F88" s="4" t="s">
        <v>19</v>
      </c>
      <c r="G88" s="4" t="s">
        <v>254</v>
      </c>
      <c r="H88" s="4" t="s">
        <v>15</v>
      </c>
      <c r="I88" s="5">
        <v>0.34399999999999997</v>
      </c>
      <c r="J88" s="4" t="s">
        <v>25</v>
      </c>
      <c r="K88" s="5">
        <v>0.25800000000000001</v>
      </c>
      <c r="L88" s="5">
        <f>+ABS(K88-I88)</f>
        <v>8.5999999999999965E-2</v>
      </c>
      <c r="M88" s="4" t="b">
        <v>0</v>
      </c>
      <c r="N88" t="b">
        <v>1</v>
      </c>
    </row>
    <row r="89" spans="1:14" x14ac:dyDescent="0.25">
      <c r="A89" t="s">
        <v>271</v>
      </c>
      <c r="B89" t="s">
        <v>387</v>
      </c>
      <c r="C89" s="4" t="b">
        <v>0</v>
      </c>
      <c r="D89" t="s">
        <v>272</v>
      </c>
      <c r="E89" t="s">
        <v>15</v>
      </c>
      <c r="F89" t="s">
        <v>13</v>
      </c>
      <c r="G89" t="s">
        <v>273</v>
      </c>
      <c r="H89" t="s">
        <v>15</v>
      </c>
      <c r="I89" s="3">
        <v>0.56899999999999995</v>
      </c>
      <c r="J89" t="s">
        <v>12</v>
      </c>
      <c r="K89" s="3">
        <v>0.13600000000000001</v>
      </c>
      <c r="L89" s="3">
        <f>+ABS(K89-I89)</f>
        <v>0.43299999999999994</v>
      </c>
      <c r="M89" t="b">
        <v>1</v>
      </c>
      <c r="N89" t="b">
        <v>0</v>
      </c>
    </row>
    <row r="90" spans="1:14" x14ac:dyDescent="0.25">
      <c r="A90" t="s">
        <v>269</v>
      </c>
      <c r="B90" t="s">
        <v>372</v>
      </c>
      <c r="C90" s="4" t="b">
        <v>1</v>
      </c>
      <c r="D90" t="s">
        <v>270</v>
      </c>
      <c r="E90" t="s">
        <v>12</v>
      </c>
      <c r="F90" t="s">
        <v>13</v>
      </c>
      <c r="G90" t="s">
        <v>14</v>
      </c>
      <c r="H90" t="s">
        <v>12</v>
      </c>
      <c r="I90" s="3">
        <v>0.60299999999999998</v>
      </c>
      <c r="J90" t="s">
        <v>25</v>
      </c>
      <c r="K90" s="3">
        <v>0.129</v>
      </c>
      <c r="L90" s="3">
        <f>+ABS(K90-I90)</f>
        <v>0.47399999999999998</v>
      </c>
      <c r="M90" t="b">
        <v>1</v>
      </c>
      <c r="N90" t="b">
        <v>0</v>
      </c>
    </row>
    <row r="91" spans="1:14" x14ac:dyDescent="0.25">
      <c r="A91" t="s">
        <v>261</v>
      </c>
      <c r="B91" t="s">
        <v>376</v>
      </c>
      <c r="C91" s="4" t="b">
        <v>0</v>
      </c>
      <c r="D91" t="s">
        <v>262</v>
      </c>
      <c r="E91" t="s">
        <v>21</v>
      </c>
      <c r="F91" t="s">
        <v>13</v>
      </c>
      <c r="G91" t="s">
        <v>137</v>
      </c>
      <c r="H91" t="s">
        <v>21</v>
      </c>
      <c r="I91" s="3">
        <v>0.625</v>
      </c>
      <c r="J91" t="s">
        <v>18</v>
      </c>
      <c r="K91" s="3">
        <v>0.13300000000000001</v>
      </c>
      <c r="L91" s="3">
        <f>+ABS(K91-I91)</f>
        <v>0.49199999999999999</v>
      </c>
      <c r="M91" t="b">
        <v>1</v>
      </c>
      <c r="N91" t="b">
        <v>0</v>
      </c>
    </row>
    <row r="92" spans="1:14" x14ac:dyDescent="0.25">
      <c r="A92" t="s">
        <v>274</v>
      </c>
      <c r="B92" t="s">
        <v>367</v>
      </c>
      <c r="C92" s="4" t="b">
        <v>1</v>
      </c>
      <c r="D92" t="s">
        <v>275</v>
      </c>
      <c r="E92" t="s">
        <v>12</v>
      </c>
      <c r="F92" t="s">
        <v>13</v>
      </c>
      <c r="G92" t="s">
        <v>276</v>
      </c>
      <c r="H92" t="s">
        <v>12</v>
      </c>
      <c r="I92" s="3">
        <v>0.46700000000000003</v>
      </c>
      <c r="J92" t="s">
        <v>25</v>
      </c>
      <c r="K92" s="3">
        <v>0.189</v>
      </c>
      <c r="L92" s="3">
        <f>+ABS(K92-I92)</f>
        <v>0.27800000000000002</v>
      </c>
      <c r="M92" t="b">
        <v>1</v>
      </c>
      <c r="N92" t="b">
        <v>0</v>
      </c>
    </row>
    <row r="93" spans="1:14" x14ac:dyDescent="0.25">
      <c r="A93" t="s">
        <v>291</v>
      </c>
      <c r="B93" t="s">
        <v>356</v>
      </c>
      <c r="C93" s="4" t="b">
        <v>1</v>
      </c>
      <c r="D93" t="s">
        <v>292</v>
      </c>
      <c r="E93" t="s">
        <v>18</v>
      </c>
      <c r="F93" t="s">
        <v>31</v>
      </c>
      <c r="G93" t="s">
        <v>202</v>
      </c>
      <c r="H93" t="s">
        <v>18</v>
      </c>
      <c r="I93" s="3">
        <v>0.44800000000000001</v>
      </c>
      <c r="J93" t="s">
        <v>25</v>
      </c>
      <c r="K93" s="3">
        <v>0.23799999999999999</v>
      </c>
      <c r="L93" s="3">
        <f>+ABS(K93-I93)</f>
        <v>0.21000000000000002</v>
      </c>
      <c r="M93" t="b">
        <v>1</v>
      </c>
      <c r="N93" t="b">
        <v>0</v>
      </c>
    </row>
    <row r="94" spans="1:14" x14ac:dyDescent="0.25">
      <c r="A94" t="s">
        <v>298</v>
      </c>
      <c r="B94" t="s">
        <v>368</v>
      </c>
      <c r="C94" s="4" t="b">
        <v>1</v>
      </c>
      <c r="D94" t="s">
        <v>299</v>
      </c>
      <c r="E94" t="s">
        <v>12</v>
      </c>
      <c r="F94" t="s">
        <v>13</v>
      </c>
      <c r="G94" t="s">
        <v>276</v>
      </c>
      <c r="H94" t="s">
        <v>12</v>
      </c>
      <c r="I94" s="3">
        <v>0.47199999999999998</v>
      </c>
      <c r="J94" t="s">
        <v>18</v>
      </c>
      <c r="K94" s="3">
        <v>0.183</v>
      </c>
      <c r="L94" s="3">
        <f>+ABS(K94-I94)</f>
        <v>0.28899999999999998</v>
      </c>
      <c r="M94" t="b">
        <v>1</v>
      </c>
      <c r="N94" t="b">
        <v>0</v>
      </c>
    </row>
    <row r="95" spans="1:14" x14ac:dyDescent="0.25">
      <c r="A95" t="s">
        <v>280</v>
      </c>
      <c r="B95" t="s">
        <v>365</v>
      </c>
      <c r="C95" s="4" t="b">
        <v>1</v>
      </c>
      <c r="D95" t="s">
        <v>281</v>
      </c>
      <c r="E95" t="s">
        <v>25</v>
      </c>
      <c r="F95" t="s">
        <v>19</v>
      </c>
      <c r="G95" t="s">
        <v>282</v>
      </c>
      <c r="H95" s="1" t="s">
        <v>12</v>
      </c>
      <c r="I95" s="3">
        <v>0.28000000000000003</v>
      </c>
      <c r="J95" t="s">
        <v>25</v>
      </c>
      <c r="K95" s="3">
        <v>0.23699999999999999</v>
      </c>
      <c r="L95" s="3">
        <f>+ABS(K95-I95)</f>
        <v>4.3000000000000038E-2</v>
      </c>
      <c r="M95" t="b">
        <v>0</v>
      </c>
      <c r="N95" t="b">
        <v>0</v>
      </c>
    </row>
    <row r="96" spans="1:14" x14ac:dyDescent="0.25">
      <c r="A96" t="s">
        <v>283</v>
      </c>
      <c r="B96" t="s">
        <v>369</v>
      </c>
      <c r="C96" s="4" t="b">
        <v>1</v>
      </c>
      <c r="D96" t="s">
        <v>284</v>
      </c>
      <c r="E96" t="s">
        <v>21</v>
      </c>
      <c r="F96" t="s">
        <v>13</v>
      </c>
      <c r="G96" t="s">
        <v>121</v>
      </c>
      <c r="H96" t="s">
        <v>21</v>
      </c>
      <c r="I96" s="3">
        <v>0.53300000000000003</v>
      </c>
      <c r="J96" t="s">
        <v>12</v>
      </c>
      <c r="K96" s="3">
        <v>0.17499999999999999</v>
      </c>
      <c r="L96" s="3">
        <f>+ABS(K96-I96)</f>
        <v>0.35800000000000004</v>
      </c>
      <c r="M96" t="b">
        <v>1</v>
      </c>
      <c r="N96" t="b">
        <v>0</v>
      </c>
    </row>
    <row r="97" spans="1:14" x14ac:dyDescent="0.25">
      <c r="A97" t="s">
        <v>277</v>
      </c>
      <c r="B97" t="s">
        <v>366</v>
      </c>
      <c r="C97" s="4" t="b">
        <v>1</v>
      </c>
      <c r="D97" t="s">
        <v>278</v>
      </c>
      <c r="E97" t="s">
        <v>25</v>
      </c>
      <c r="F97" t="s">
        <v>19</v>
      </c>
      <c r="G97" t="s">
        <v>279</v>
      </c>
      <c r="H97" t="s">
        <v>15</v>
      </c>
      <c r="I97" s="3">
        <v>0.27300000000000002</v>
      </c>
      <c r="J97" t="s">
        <v>25</v>
      </c>
      <c r="K97" s="3">
        <v>0.23699999999999999</v>
      </c>
      <c r="L97" s="3">
        <f>+ABS(K97-I97)</f>
        <v>3.6000000000000032E-2</v>
      </c>
      <c r="M97" t="b">
        <v>0</v>
      </c>
      <c r="N97" t="b">
        <v>0</v>
      </c>
    </row>
    <row r="98" spans="1:14" x14ac:dyDescent="0.25">
      <c r="A98" t="s">
        <v>304</v>
      </c>
      <c r="B98" t="s">
        <v>368</v>
      </c>
      <c r="C98" s="4" t="b">
        <v>1</v>
      </c>
      <c r="D98" t="s">
        <v>305</v>
      </c>
      <c r="E98" t="s">
        <v>18</v>
      </c>
      <c r="F98" t="s">
        <v>19</v>
      </c>
      <c r="G98" t="s">
        <v>306</v>
      </c>
      <c r="H98" t="s">
        <v>18</v>
      </c>
      <c r="I98" s="3">
        <v>0.4</v>
      </c>
      <c r="J98" t="s">
        <v>21</v>
      </c>
      <c r="K98" s="3">
        <v>0.316</v>
      </c>
      <c r="L98" s="3">
        <f>+ABS(K98-I98)</f>
        <v>8.4000000000000019E-2</v>
      </c>
      <c r="M98" t="b">
        <v>1</v>
      </c>
      <c r="N98" t="b">
        <v>0</v>
      </c>
    </row>
    <row r="99" spans="1:14" x14ac:dyDescent="0.25">
      <c r="A99" t="s">
        <v>285</v>
      </c>
      <c r="B99" t="s">
        <v>374</v>
      </c>
      <c r="C99" s="4" t="b">
        <v>0</v>
      </c>
      <c r="D99" t="s">
        <v>286</v>
      </c>
      <c r="E99" t="s">
        <v>18</v>
      </c>
      <c r="F99" t="s">
        <v>31</v>
      </c>
      <c r="G99" t="s">
        <v>287</v>
      </c>
      <c r="H99" t="s">
        <v>21</v>
      </c>
      <c r="I99" s="3">
        <v>0.438</v>
      </c>
      <c r="J99" t="s">
        <v>18</v>
      </c>
      <c r="K99" s="3">
        <v>0.307</v>
      </c>
      <c r="L99" s="3">
        <f>+ABS(K99-I99)</f>
        <v>0.13100000000000001</v>
      </c>
      <c r="M99" t="b">
        <v>0</v>
      </c>
      <c r="N99" t="b">
        <v>0</v>
      </c>
    </row>
    <row r="100" spans="1:14" x14ac:dyDescent="0.25">
      <c r="A100" t="s">
        <v>296</v>
      </c>
      <c r="B100" t="s">
        <v>369</v>
      </c>
      <c r="C100" s="4" t="b">
        <v>1</v>
      </c>
      <c r="D100" t="s">
        <v>297</v>
      </c>
      <c r="E100" t="s">
        <v>18</v>
      </c>
      <c r="F100" t="s">
        <v>31</v>
      </c>
      <c r="G100" t="s">
        <v>202</v>
      </c>
      <c r="H100" t="s">
        <v>18</v>
      </c>
      <c r="I100" s="3">
        <v>0.44800000000000001</v>
      </c>
      <c r="J100" t="s">
        <v>25</v>
      </c>
      <c r="K100" s="3">
        <v>0.18099999999999999</v>
      </c>
      <c r="L100" s="3">
        <f>+ABS(K100-I100)</f>
        <v>0.26700000000000002</v>
      </c>
      <c r="M100" t="b">
        <v>1</v>
      </c>
      <c r="N100" t="b">
        <v>0</v>
      </c>
    </row>
    <row r="101" spans="1:14" x14ac:dyDescent="0.25">
      <c r="A101" t="s">
        <v>293</v>
      </c>
      <c r="B101" t="s">
        <v>362</v>
      </c>
      <c r="C101" s="4" t="b">
        <v>0</v>
      </c>
      <c r="D101" t="s">
        <v>294</v>
      </c>
      <c r="E101" t="s">
        <v>21</v>
      </c>
      <c r="F101" t="s">
        <v>13</v>
      </c>
      <c r="G101" t="s">
        <v>295</v>
      </c>
      <c r="H101" t="s">
        <v>21</v>
      </c>
      <c r="I101" s="3">
        <v>0.624</v>
      </c>
      <c r="J101" t="s">
        <v>18</v>
      </c>
      <c r="K101" s="3">
        <v>0.17499999999999999</v>
      </c>
      <c r="L101" s="3">
        <f>+ABS(K101-I101)</f>
        <v>0.44900000000000001</v>
      </c>
      <c r="M101" t="b">
        <v>1</v>
      </c>
      <c r="N101" t="b">
        <v>0</v>
      </c>
    </row>
    <row r="102" spans="1:14" x14ac:dyDescent="0.25">
      <c r="A102" t="s">
        <v>288</v>
      </c>
      <c r="B102" t="s">
        <v>369</v>
      </c>
      <c r="C102" s="4" t="b">
        <v>1</v>
      </c>
      <c r="D102" t="s">
        <v>289</v>
      </c>
      <c r="E102" t="s">
        <v>21</v>
      </c>
      <c r="F102" t="s">
        <v>13</v>
      </c>
      <c r="G102" t="s">
        <v>290</v>
      </c>
      <c r="H102" t="s">
        <v>21</v>
      </c>
      <c r="I102" s="3">
        <v>0.78</v>
      </c>
      <c r="J102" t="s">
        <v>18</v>
      </c>
      <c r="K102" s="3">
        <v>8.1000000000000003E-2</v>
      </c>
      <c r="L102" s="3">
        <f>+ABS(K102-I102)</f>
        <v>0.69900000000000007</v>
      </c>
      <c r="M102" t="b">
        <v>1</v>
      </c>
      <c r="N102" t="b">
        <v>0</v>
      </c>
    </row>
    <row r="103" spans="1:14" x14ac:dyDescent="0.25">
      <c r="A103" t="s">
        <v>302</v>
      </c>
      <c r="B103" t="s">
        <v>383</v>
      </c>
      <c r="C103" s="4" t="b">
        <v>1</v>
      </c>
      <c r="D103" t="s">
        <v>303</v>
      </c>
      <c r="E103" t="s">
        <v>25</v>
      </c>
      <c r="F103" t="s">
        <v>13</v>
      </c>
      <c r="G103" t="s">
        <v>44</v>
      </c>
      <c r="H103" t="s">
        <v>25</v>
      </c>
      <c r="I103" s="3">
        <v>0.56499999999999995</v>
      </c>
      <c r="J103" t="s">
        <v>15</v>
      </c>
      <c r="K103" s="3">
        <v>0.219</v>
      </c>
      <c r="L103" s="3">
        <f>+ABS(K103-I103)</f>
        <v>0.34599999999999997</v>
      </c>
      <c r="M103" t="b">
        <v>1</v>
      </c>
      <c r="N103" t="b">
        <v>0</v>
      </c>
    </row>
    <row r="104" spans="1:14" x14ac:dyDescent="0.25">
      <c r="A104" t="s">
        <v>300</v>
      </c>
      <c r="B104" t="s">
        <v>372</v>
      </c>
      <c r="C104" s="4" t="b">
        <v>1</v>
      </c>
      <c r="D104" t="s">
        <v>301</v>
      </c>
      <c r="E104" t="s">
        <v>25</v>
      </c>
      <c r="F104" t="s">
        <v>31</v>
      </c>
      <c r="G104" t="s">
        <v>79</v>
      </c>
      <c r="H104" t="s">
        <v>25</v>
      </c>
      <c r="I104" s="3">
        <v>0.42699999999999999</v>
      </c>
      <c r="J104" t="s">
        <v>18</v>
      </c>
      <c r="K104" s="3">
        <v>0.221</v>
      </c>
      <c r="L104" s="3">
        <f>+ABS(K104-I104)</f>
        <v>0.20599999999999999</v>
      </c>
      <c r="M104" t="b">
        <v>1</v>
      </c>
      <c r="N104" t="b">
        <v>0</v>
      </c>
    </row>
    <row r="105" spans="1:14" x14ac:dyDescent="0.25">
      <c r="A105" t="s">
        <v>313</v>
      </c>
      <c r="B105" t="s">
        <v>367</v>
      </c>
      <c r="C105" s="4" t="b">
        <v>1</v>
      </c>
      <c r="D105" t="s">
        <v>314</v>
      </c>
      <c r="E105" t="s">
        <v>18</v>
      </c>
      <c r="F105" t="s">
        <v>31</v>
      </c>
      <c r="G105" t="s">
        <v>315</v>
      </c>
      <c r="H105" t="s">
        <v>18</v>
      </c>
      <c r="I105" s="3">
        <v>0.41799999999999998</v>
      </c>
      <c r="J105" t="s">
        <v>15</v>
      </c>
      <c r="K105" s="3">
        <v>0.16700000000000001</v>
      </c>
      <c r="L105" s="3">
        <f>+ABS(K105-I105)</f>
        <v>0.251</v>
      </c>
      <c r="M105" t="b">
        <v>1</v>
      </c>
      <c r="N105" t="b">
        <v>0</v>
      </c>
    </row>
    <row r="106" spans="1:14" x14ac:dyDescent="0.25">
      <c r="A106" t="s">
        <v>310</v>
      </c>
      <c r="B106" t="s">
        <v>375</v>
      </c>
      <c r="C106" s="4" t="b">
        <v>1</v>
      </c>
      <c r="D106" t="s">
        <v>311</v>
      </c>
      <c r="E106" t="s">
        <v>25</v>
      </c>
      <c r="F106" t="s">
        <v>31</v>
      </c>
      <c r="G106" t="s">
        <v>312</v>
      </c>
      <c r="H106" t="s">
        <v>25</v>
      </c>
      <c r="I106" s="3">
        <v>0.371</v>
      </c>
      <c r="J106" t="s">
        <v>15</v>
      </c>
      <c r="K106" s="3">
        <v>0.23899999999999999</v>
      </c>
      <c r="L106" s="3">
        <f>+ABS(K106-I106)</f>
        <v>0.13200000000000001</v>
      </c>
      <c r="M106" t="b">
        <v>1</v>
      </c>
      <c r="N106" t="b">
        <v>0</v>
      </c>
    </row>
    <row r="107" spans="1:14" x14ac:dyDescent="0.25">
      <c r="A107" t="s">
        <v>321</v>
      </c>
      <c r="B107" t="s">
        <v>354</v>
      </c>
      <c r="C107" s="4" t="b">
        <v>0</v>
      </c>
      <c r="D107" t="s">
        <v>322</v>
      </c>
      <c r="E107" t="s">
        <v>25</v>
      </c>
      <c r="F107" t="s">
        <v>13</v>
      </c>
      <c r="G107" t="s">
        <v>168</v>
      </c>
      <c r="H107" t="s">
        <v>25</v>
      </c>
      <c r="I107" s="3">
        <v>0.52500000000000002</v>
      </c>
      <c r="J107" t="s">
        <v>15</v>
      </c>
      <c r="K107" s="3">
        <v>0.20799999999999999</v>
      </c>
      <c r="L107" s="3">
        <f>+ABS(K107-I107)</f>
        <v>0.31700000000000006</v>
      </c>
      <c r="M107" t="b">
        <v>1</v>
      </c>
      <c r="N107" t="b">
        <v>0</v>
      </c>
    </row>
    <row r="108" spans="1:14" x14ac:dyDescent="0.25">
      <c r="A108" t="s">
        <v>307</v>
      </c>
      <c r="B108" t="s">
        <v>356</v>
      </c>
      <c r="C108" s="4" t="b">
        <v>1</v>
      </c>
      <c r="D108" t="s">
        <v>308</v>
      </c>
      <c r="E108" t="s">
        <v>25</v>
      </c>
      <c r="F108" t="s">
        <v>19</v>
      </c>
      <c r="G108" t="s">
        <v>309</v>
      </c>
      <c r="H108" t="s">
        <v>25</v>
      </c>
      <c r="I108" s="3">
        <v>0.34300000000000003</v>
      </c>
      <c r="J108" t="s">
        <v>15</v>
      </c>
      <c r="K108" s="3">
        <v>0.252</v>
      </c>
      <c r="L108" s="3">
        <f>+ABS(K108-I108)</f>
        <v>9.1000000000000025E-2</v>
      </c>
      <c r="M108" t="b">
        <v>1</v>
      </c>
      <c r="N108" t="b">
        <v>0</v>
      </c>
    </row>
    <row r="109" spans="1:14" x14ac:dyDescent="0.25">
      <c r="A109" s="4" t="s">
        <v>319</v>
      </c>
      <c r="B109" s="4" t="s">
        <v>377</v>
      </c>
      <c r="C109" s="4" t="b">
        <v>0</v>
      </c>
      <c r="D109" s="4" t="s">
        <v>320</v>
      </c>
      <c r="E109" s="4" t="s">
        <v>12</v>
      </c>
      <c r="F109" s="4" t="s">
        <v>13</v>
      </c>
      <c r="G109" s="4" t="s">
        <v>121</v>
      </c>
      <c r="H109" s="4" t="s">
        <v>21</v>
      </c>
      <c r="I109" s="5">
        <v>0.53300000000000003</v>
      </c>
      <c r="J109" s="4" t="s">
        <v>12</v>
      </c>
      <c r="K109" s="5">
        <v>0.22600000000000001</v>
      </c>
      <c r="L109" s="5">
        <f>+ABS(K109-I109)</f>
        <v>0.30700000000000005</v>
      </c>
      <c r="M109" s="4" t="b">
        <v>0</v>
      </c>
      <c r="N109" t="b">
        <v>1</v>
      </c>
    </row>
    <row r="110" spans="1:14" x14ac:dyDescent="0.25">
      <c r="A110" s="4" t="s">
        <v>323</v>
      </c>
      <c r="B110" s="4" t="s">
        <v>366</v>
      </c>
      <c r="C110" s="4" t="b">
        <v>1</v>
      </c>
      <c r="D110" s="4" t="s">
        <v>324</v>
      </c>
      <c r="E110" s="4" t="s">
        <v>25</v>
      </c>
      <c r="F110" s="4" t="s">
        <v>19</v>
      </c>
      <c r="G110" s="4" t="s">
        <v>325</v>
      </c>
      <c r="H110" s="4" t="s">
        <v>12</v>
      </c>
      <c r="I110" s="5">
        <v>0.28499999999999998</v>
      </c>
      <c r="J110" s="4" t="s">
        <v>25</v>
      </c>
      <c r="K110" s="5">
        <v>0.28499999999999998</v>
      </c>
      <c r="L110" s="5">
        <f>+ABS(K110-I110)</f>
        <v>0</v>
      </c>
      <c r="M110" s="4" t="b">
        <v>0</v>
      </c>
      <c r="N110" t="b">
        <v>1</v>
      </c>
    </row>
    <row r="111" spans="1:14" x14ac:dyDescent="0.25">
      <c r="A111" t="s">
        <v>326</v>
      </c>
      <c r="B111" t="s">
        <v>388</v>
      </c>
      <c r="C111" s="4" t="b">
        <v>1</v>
      </c>
      <c r="D111" t="s">
        <v>327</v>
      </c>
      <c r="E111" t="s">
        <v>25</v>
      </c>
      <c r="F111" t="s">
        <v>19</v>
      </c>
      <c r="G111" t="s">
        <v>328</v>
      </c>
      <c r="H111" t="s">
        <v>25</v>
      </c>
      <c r="I111" s="3">
        <v>0.28299999999999997</v>
      </c>
      <c r="J111" t="s">
        <v>18</v>
      </c>
      <c r="K111" s="3">
        <v>0.25600000000000001</v>
      </c>
      <c r="L111" s="3">
        <f>+ABS(K111-I111)</f>
        <v>2.6999999999999968E-2</v>
      </c>
      <c r="M111" t="b">
        <v>1</v>
      </c>
      <c r="N111" t="b">
        <v>0</v>
      </c>
    </row>
    <row r="112" spans="1:14" x14ac:dyDescent="0.25">
      <c r="A112" t="s">
        <v>316</v>
      </c>
      <c r="B112" t="s">
        <v>356</v>
      </c>
      <c r="C112" s="4" t="b">
        <v>1</v>
      </c>
      <c r="D112" t="s">
        <v>317</v>
      </c>
      <c r="E112" t="s">
        <v>18</v>
      </c>
      <c r="F112" t="s">
        <v>19</v>
      </c>
      <c r="G112" t="s">
        <v>318</v>
      </c>
      <c r="H112" t="s">
        <v>18</v>
      </c>
      <c r="I112" s="3">
        <v>0.26500000000000001</v>
      </c>
      <c r="J112" t="s">
        <v>15</v>
      </c>
      <c r="K112" s="3">
        <v>0.25800000000000001</v>
      </c>
      <c r="L112" s="3">
        <f>+ABS(K112-I112)</f>
        <v>7.0000000000000062E-3</v>
      </c>
      <c r="M112" t="b">
        <v>1</v>
      </c>
      <c r="N112" t="b">
        <v>0</v>
      </c>
    </row>
    <row r="113" spans="1:14" x14ac:dyDescent="0.25">
      <c r="A113" t="s">
        <v>331</v>
      </c>
      <c r="B113" t="s">
        <v>367</v>
      </c>
      <c r="C113" s="4" t="b">
        <v>1</v>
      </c>
      <c r="D113" t="s">
        <v>332</v>
      </c>
      <c r="E113" t="s">
        <v>18</v>
      </c>
      <c r="F113" t="s">
        <v>31</v>
      </c>
      <c r="G113" t="s">
        <v>333</v>
      </c>
      <c r="H113" t="s">
        <v>18</v>
      </c>
      <c r="I113" s="3">
        <v>0.39400000000000002</v>
      </c>
      <c r="J113" t="s">
        <v>15</v>
      </c>
      <c r="K113" s="3">
        <v>0.23599999999999999</v>
      </c>
      <c r="L113" s="3">
        <f>+ABS(K113-I113)</f>
        <v>0.15800000000000003</v>
      </c>
      <c r="M113" t="b">
        <v>1</v>
      </c>
      <c r="N113" t="b">
        <v>0</v>
      </c>
    </row>
    <row r="114" spans="1:14" x14ac:dyDescent="0.25">
      <c r="A114" t="s">
        <v>345</v>
      </c>
      <c r="B114" t="s">
        <v>367</v>
      </c>
      <c r="C114" s="4" t="b">
        <v>1</v>
      </c>
      <c r="D114" t="s">
        <v>346</v>
      </c>
      <c r="E114" t="s">
        <v>18</v>
      </c>
      <c r="F114" t="s">
        <v>13</v>
      </c>
      <c r="G114" t="s">
        <v>347</v>
      </c>
      <c r="H114" t="s">
        <v>18</v>
      </c>
      <c r="I114" s="3">
        <v>0.55400000000000005</v>
      </c>
      <c r="J114" t="s">
        <v>25</v>
      </c>
      <c r="K114" s="3">
        <v>0.184</v>
      </c>
      <c r="L114" s="3">
        <f>+ABS(K114-I114)</f>
        <v>0.37000000000000005</v>
      </c>
      <c r="M114" t="b">
        <v>1</v>
      </c>
      <c r="N114" t="b">
        <v>0</v>
      </c>
    </row>
    <row r="115" spans="1:14" x14ac:dyDescent="0.25">
      <c r="A115" s="4" t="s">
        <v>348</v>
      </c>
      <c r="B115" s="4" t="s">
        <v>372</v>
      </c>
      <c r="C115" s="4" t="b">
        <v>1</v>
      </c>
      <c r="D115" s="4" t="s">
        <v>349</v>
      </c>
      <c r="E115" s="4" t="s">
        <v>25</v>
      </c>
      <c r="F115" s="4" t="s">
        <v>13</v>
      </c>
      <c r="G115" s="4" t="s">
        <v>124</v>
      </c>
      <c r="H115" s="4" t="s">
        <v>12</v>
      </c>
      <c r="I115" s="5">
        <v>0.57599999999999996</v>
      </c>
      <c r="J115" s="4" t="s">
        <v>25</v>
      </c>
      <c r="K115" s="5">
        <v>0.16800000000000001</v>
      </c>
      <c r="L115" s="5">
        <f>+ABS(K115-I115)</f>
        <v>0.40799999999999992</v>
      </c>
      <c r="M115" s="4" t="b">
        <v>0</v>
      </c>
      <c r="N115" t="b">
        <v>1</v>
      </c>
    </row>
    <row r="116" spans="1:14" x14ac:dyDescent="0.25">
      <c r="A116" t="s">
        <v>337</v>
      </c>
      <c r="B116" t="s">
        <v>373</v>
      </c>
      <c r="C116" s="4" t="b">
        <v>1</v>
      </c>
      <c r="D116" t="s">
        <v>338</v>
      </c>
      <c r="E116" t="s">
        <v>12</v>
      </c>
      <c r="F116" t="s">
        <v>31</v>
      </c>
      <c r="G116" t="s">
        <v>91</v>
      </c>
      <c r="H116" t="s">
        <v>12</v>
      </c>
      <c r="I116" s="3">
        <v>0.36699999999999999</v>
      </c>
      <c r="J116" t="s">
        <v>18</v>
      </c>
      <c r="K116" s="3">
        <v>0.246</v>
      </c>
      <c r="L116" s="3">
        <f>+ABS(K116-I116)</f>
        <v>0.121</v>
      </c>
      <c r="M116" t="b">
        <v>1</v>
      </c>
      <c r="N116" t="b">
        <v>0</v>
      </c>
    </row>
    <row r="117" spans="1:14" x14ac:dyDescent="0.25">
      <c r="A117" t="s">
        <v>329</v>
      </c>
      <c r="B117" t="s">
        <v>359</v>
      </c>
      <c r="C117" s="4" t="b">
        <v>0</v>
      </c>
      <c r="D117" t="s">
        <v>330</v>
      </c>
      <c r="E117" t="s">
        <v>25</v>
      </c>
      <c r="F117" t="s">
        <v>13</v>
      </c>
      <c r="G117" t="s">
        <v>268</v>
      </c>
      <c r="H117" t="s">
        <v>25</v>
      </c>
      <c r="I117" s="3">
        <v>0.51600000000000001</v>
      </c>
      <c r="J117" t="s">
        <v>15</v>
      </c>
      <c r="K117" s="3">
        <v>0.22700000000000001</v>
      </c>
      <c r="L117" s="3">
        <f>+ABS(K117-I117)</f>
        <v>0.28900000000000003</v>
      </c>
      <c r="M117" t="b">
        <v>1</v>
      </c>
      <c r="N117" t="b">
        <v>0</v>
      </c>
    </row>
    <row r="118" spans="1:14" x14ac:dyDescent="0.25">
      <c r="A118" t="s">
        <v>339</v>
      </c>
      <c r="B118" t="s">
        <v>372</v>
      </c>
      <c r="C118" s="4" t="b">
        <v>1</v>
      </c>
      <c r="D118" t="s">
        <v>340</v>
      </c>
      <c r="E118" t="s">
        <v>12</v>
      </c>
      <c r="F118" t="s">
        <v>19</v>
      </c>
      <c r="G118" t="s">
        <v>341</v>
      </c>
      <c r="H118" t="s">
        <v>12</v>
      </c>
      <c r="I118" s="3">
        <v>0.26900000000000002</v>
      </c>
      <c r="J118" t="s">
        <v>25</v>
      </c>
      <c r="K118" s="3">
        <v>0.26700000000000002</v>
      </c>
      <c r="L118" s="3">
        <f>+ABS(K118-I118)</f>
        <v>2.0000000000000018E-3</v>
      </c>
      <c r="M118" t="b">
        <v>1</v>
      </c>
      <c r="N118" t="b">
        <v>0</v>
      </c>
    </row>
    <row r="119" spans="1:14" x14ac:dyDescent="0.25">
      <c r="A119" t="s">
        <v>342</v>
      </c>
      <c r="B119" t="s">
        <v>372</v>
      </c>
      <c r="C119" s="4" t="b">
        <v>1</v>
      </c>
      <c r="D119" t="s">
        <v>343</v>
      </c>
      <c r="E119" t="s">
        <v>25</v>
      </c>
      <c r="F119" t="s">
        <v>31</v>
      </c>
      <c r="G119" t="s">
        <v>344</v>
      </c>
      <c r="H119" t="s">
        <v>25</v>
      </c>
      <c r="I119" s="3">
        <v>0.379</v>
      </c>
      <c r="J119" t="s">
        <v>18</v>
      </c>
      <c r="K119" s="3">
        <v>0.248</v>
      </c>
      <c r="L119" s="3">
        <f>+ABS(K119-I119)</f>
        <v>0.13100000000000001</v>
      </c>
      <c r="M119" t="b">
        <v>1</v>
      </c>
      <c r="N119" t="b">
        <v>0</v>
      </c>
    </row>
    <row r="120" spans="1:14" x14ac:dyDescent="0.25">
      <c r="A120" t="s">
        <v>334</v>
      </c>
      <c r="B120" t="s">
        <v>367</v>
      </c>
      <c r="C120" s="4" t="b">
        <v>1</v>
      </c>
      <c r="D120" t="s">
        <v>335</v>
      </c>
      <c r="E120" t="s">
        <v>15</v>
      </c>
      <c r="F120" t="s">
        <v>19</v>
      </c>
      <c r="G120" t="s">
        <v>336</v>
      </c>
      <c r="H120" t="s">
        <v>15</v>
      </c>
      <c r="I120" s="3">
        <v>0.29299999999999998</v>
      </c>
      <c r="J120" t="s">
        <v>21</v>
      </c>
      <c r="K120" s="3">
        <v>0.21</v>
      </c>
      <c r="L120" s="3">
        <f>+ABS(K120-I120)</f>
        <v>8.299999999999999E-2</v>
      </c>
      <c r="M120" t="b">
        <v>1</v>
      </c>
      <c r="N12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_escenarios_modelo_rf_rock_engl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</dc:creator>
  <cp:lastModifiedBy>I202313436 (Alayo Oliveros,Mathias Miller)</cp:lastModifiedBy>
  <dcterms:created xsi:type="dcterms:W3CDTF">2026-07-16T19:57:18Z</dcterms:created>
  <dcterms:modified xsi:type="dcterms:W3CDTF">2026-08-04T19:17:34Z</dcterms:modified>
</cp:coreProperties>
</file>